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.farias\Desktop\Projeto_OCAD\Histórico\"/>
    </mc:Choice>
  </mc:AlternateContent>
  <xr:revisionPtr revIDLastSave="0" documentId="13_ncr:1_{ECC969F9-C4A3-4216-A729-D2FB3263EED7}" xr6:coauthVersionLast="47" xr6:coauthVersionMax="47" xr10:uidLastSave="{00000000-0000-0000-0000-000000000000}"/>
  <bookViews>
    <workbookView xWindow="-120" yWindow="-120" windowWidth="29040" windowHeight="15720" activeTab="5" xr2:uid="{22FA6F53-F813-4D91-8754-EDBF1CD8CF6E}"/>
  </bookViews>
  <sheets>
    <sheet name="Lei Ordinária" sheetId="1" r:id="rId1"/>
    <sheet name="Decreto" sheetId="2" r:id="rId2"/>
    <sheet name="Estrutura básica da adm" sheetId="3" r:id="rId3"/>
    <sheet name="PPA" sheetId="4" r:id="rId4"/>
    <sheet name="LDO" sheetId="5" r:id="rId5"/>
    <sheet name="LOA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6" l="1"/>
  <c r="F7" i="6"/>
  <c r="G8" i="6"/>
  <c r="H8" i="6" s="1"/>
  <c r="F8" i="6"/>
  <c r="G9" i="6"/>
  <c r="F9" i="6"/>
  <c r="G10" i="6"/>
  <c r="F10" i="6"/>
  <c r="G11" i="6"/>
  <c r="H11" i="6" s="1"/>
  <c r="F11" i="6"/>
  <c r="G12" i="6"/>
  <c r="F12" i="6"/>
  <c r="G13" i="6"/>
  <c r="H13" i="6" s="1"/>
  <c r="F13" i="6"/>
  <c r="G14" i="6"/>
  <c r="F14" i="6"/>
  <c r="G15" i="6"/>
  <c r="F15" i="6"/>
  <c r="H15" i="6" s="1"/>
  <c r="G16" i="6"/>
  <c r="F16" i="6"/>
  <c r="H16" i="6" s="1"/>
  <c r="G17" i="6"/>
  <c r="F17" i="6"/>
  <c r="G18" i="6"/>
  <c r="F18" i="6"/>
  <c r="H18" i="6" s="1"/>
  <c r="G19" i="6"/>
  <c r="F19" i="6"/>
  <c r="G20" i="6"/>
  <c r="H20" i="6" s="1"/>
  <c r="F20" i="6"/>
  <c r="G21" i="6"/>
  <c r="F21" i="6"/>
  <c r="H21" i="6" s="1"/>
  <c r="G22" i="6"/>
  <c r="F22" i="6"/>
  <c r="H22" i="6" s="1"/>
  <c r="G23" i="6"/>
  <c r="F23" i="6"/>
  <c r="G24" i="6"/>
  <c r="H24" i="6" s="1"/>
  <c r="F24" i="6"/>
  <c r="G25" i="6"/>
  <c r="F25" i="6"/>
  <c r="G26" i="6"/>
  <c r="F26" i="6"/>
  <c r="H26" i="6" s="1"/>
  <c r="G27" i="6"/>
  <c r="H27" i="6"/>
  <c r="F27" i="6"/>
  <c r="G28" i="6"/>
  <c r="F28" i="6"/>
  <c r="H28" i="6" s="1"/>
  <c r="F29" i="6"/>
  <c r="G29" i="6"/>
  <c r="H29" i="6"/>
  <c r="G30" i="6"/>
  <c r="F30" i="6"/>
  <c r="G31" i="6"/>
  <c r="F31" i="6"/>
  <c r="G32" i="6"/>
  <c r="F32" i="6"/>
  <c r="G33" i="6"/>
  <c r="F33" i="6"/>
  <c r="F34" i="6"/>
  <c r="F35" i="6"/>
  <c r="H35" i="6" s="1"/>
  <c r="F36" i="6"/>
  <c r="F37" i="6"/>
  <c r="H37" i="6"/>
  <c r="F38" i="6"/>
  <c r="F39" i="6"/>
  <c r="H39" i="6" s="1"/>
  <c r="F40" i="6"/>
  <c r="H10" i="6"/>
  <c r="H23" i="6"/>
  <c r="H33" i="6"/>
  <c r="H25" i="6"/>
  <c r="H30" i="6"/>
  <c r="H34" i="6"/>
  <c r="H36" i="6"/>
  <c r="H38" i="6"/>
  <c r="H40" i="6"/>
  <c r="H41" i="6"/>
  <c r="H42" i="6"/>
  <c r="H7" i="6" l="1"/>
  <c r="H9" i="6"/>
  <c r="H31" i="6"/>
  <c r="H32" i="6"/>
  <c r="H12" i="6"/>
  <c r="H14" i="6"/>
  <c r="H17" i="6"/>
  <c r="H19" i="6"/>
</calcChain>
</file>

<file path=xl/sharedStrings.xml><?xml version="1.0" encoding="utf-8"?>
<sst xmlns="http://schemas.openxmlformats.org/spreadsheetml/2006/main" count="476" uniqueCount="371">
  <si>
    <t>Nº da Lei</t>
  </si>
  <si>
    <t>Ementa</t>
  </si>
  <si>
    <t>Torna obrigatória a inclusão, no formulário denominado boletim de emergência, utilizado pela rede pública de saúde, de campo específico para registrar suspeita ou confirmação de maus tratos e violência cometida contra idosos, crianças, adolescentes e mulheres.</t>
  </si>
  <si>
    <t>Nº do Decreto</t>
  </si>
  <si>
    <t>Lei Complementar nº 419, de 15/12/2022Publicada no DOE de 16/12/2022</t>
  </si>
  <si>
    <t>Estabelece a estrutura básica da administração do Poder Executivo e revoga a Lei Complementar nº 355, de 28 de dezembro de 2018.</t>
  </si>
  <si>
    <t>Dispõe sobre a estrutura administrativa, política e operacional do Poder Executivo.</t>
  </si>
  <si>
    <t>Lei Complementar nº 314, de 31/12/2015Publicada no DOE de 07/01/2016</t>
  </si>
  <si>
    <t>Dispõe sobre a estrutura administrativa política e operacional do Poder Executivo do Estado do Acre.</t>
  </si>
  <si>
    <t>Órgão</t>
  </si>
  <si>
    <t>Lei Complementar nº 247, de 17/02/2012Publicada no DOE de 24/02/2012</t>
  </si>
  <si>
    <t>Dispõe sobre a estrutura administrativa do Poder Executivo do Estado do Acre e dá outras providências.</t>
  </si>
  <si>
    <t>Lei Complementar nº 191, de 31/12/2008Publicada no DOE de 29/01/2009</t>
  </si>
  <si>
    <t>Lei Complementar nº 171, de 31/08/2007Publicada no DOE de 31/08/2007</t>
  </si>
  <si>
    <t>Dispõe sobre a nova estrutura administrativa do Poder Executivo do Estado do Acre e dá outras providências.</t>
  </si>
  <si>
    <t>Lei Complementar nº 115, de 31/12/2002Publicada no DOE de 06/01/2003</t>
  </si>
  <si>
    <t>Altera dispositivos da Lei Complementar n. 63, de 13 de janeiro de 1999.</t>
  </si>
  <si>
    <t>Lei nº 3.589, de 19/12/2019Publicada no DOE de 30/12/2019</t>
  </si>
  <si>
    <t>Dispõe sobre o Plano Plurianual do Estado do Acre para o quadriênio 2020 - 2023.</t>
  </si>
  <si>
    <t>Lei nº 3.100, de 29/12/2015Publicada no DOE de 04/01/2016</t>
  </si>
  <si>
    <t>Dispõe sobre o Plano Plurianual para o quadriênio 2016-2019, em cumprimento aos arts. 151, § 1º do art. 159; e 160, todos da Constituição Estadual.</t>
  </si>
  <si>
    <t>Lei nº 2.524, de 20/12/2011Publicada no DOE de 30/12/2011</t>
  </si>
  <si>
    <t>Dispõe sobre o Plano Plurianual para o quadriênio 2012-2015, e dá outras providências.</t>
  </si>
  <si>
    <t>Lei nº 1.972, de 27/12/2007Publicada no DOE de 31/12/2007</t>
  </si>
  <si>
    <t>Dispõe sobre o Plano Plurianual para o quadriênio de 2008 - 2011.</t>
  </si>
  <si>
    <t>Lei nº 1.521, de 26/12/2003Publicada no DOE de 31/12/2003</t>
  </si>
  <si>
    <t>Dispõe sobre o Plano Plurianual para o quadriênio 2004-2007 e dá outras providências.</t>
  </si>
  <si>
    <t>Lei nº 1.307, de 24/12/1999Publicada no DOE de 31/12/1999</t>
  </si>
  <si>
    <t>Dispõe sobre o Plano Plurianual para o quadriênio 2000-2003 e dá outras providências.</t>
  </si>
  <si>
    <t>Lei nº 1.162, de 27/10/1995Publicada no DOE de 31/10/1995</t>
  </si>
  <si>
    <t>Dispõe sobre o Plano Plurianual para o quadriênio 1996-1999, e dá outras providências.</t>
  </si>
  <si>
    <t>Lei nº 1.054, de 03/11/1992Publicada no DOE de 11/11/1992</t>
  </si>
  <si>
    <t>Dispõe sobre o Plano Plurianual para o quadriênio 1992 – 1995, e dá outras providências.</t>
  </si>
  <si>
    <t>Lei nº 1.005, de 14/11/1991Publicada no DOE de 29/11/1991</t>
  </si>
  <si>
    <t>Dispõe sobre o Plano Plurianual para o quadriênio 1992-1995 e dá outras providências.</t>
  </si>
  <si>
    <t>Sensível ao Gênero</t>
  </si>
  <si>
    <t>Lei nº 4.144, de 09/08/2023Publicada no DOE de 11/08/2023</t>
  </si>
  <si>
    <t>Dispõe sobre as diretrizes orçamentárias para o exercício financeiro de 2024.</t>
  </si>
  <si>
    <t>Lei nº 3.975, de 01/08/2022Publicada no DOE de 03/08/2022</t>
  </si>
  <si>
    <t>Dispõe sobre as diretrizes orçamentárias para o exercício financeiro de 2023 e dá outras providências.</t>
  </si>
  <si>
    <t>Lei nº 3.763, de 19/07/2021Publicada no DOE de 20/07/2021</t>
  </si>
  <si>
    <t>Dispõe sobre as diretrizes orçamentárias para o exercício financeiro de 2022.</t>
  </si>
  <si>
    <t>Lei nº 3.642, de 21/07/2020Publicada no DOE de 22/07/2020</t>
  </si>
  <si>
    <t>Dispõe sobre as diretrizes orçamentárias para o exercício financeiro de 2021 e dá outras providências.</t>
  </si>
  <si>
    <t>Lei nº 3.520, de 25/09/2019Publicada no DOE de 27/09/2019</t>
  </si>
  <si>
    <t>Dispõe sobre as diretrizes orçamentárias para o exercício financeiro de 2020 e dá outras providências.</t>
  </si>
  <si>
    <t>Lei nº 3.393, de 13/07/2018Publicada no DOE de 01/08/2018</t>
  </si>
  <si>
    <t>Dispõe sobre as diretrizes orçamentárias para o exercício financeiro de 2019 e dá outras providências.</t>
  </si>
  <si>
    <t>Lei nº 3.276, de 20/07/2017Publicada no DOE de 20/07/2017</t>
  </si>
  <si>
    <t>Dispõe sobre as diretrizes orçamentárias para o exercício financeiro de 2018, e dá outras providências.</t>
  </si>
  <si>
    <t>Lei nº 3.160, de 09/08/2016Publicada no DOE de 18/08/2016</t>
  </si>
  <si>
    <t>Dispõe sobre as diretrizes orçamentárias para o exercício financeiro de 2017 e dá outras providências.</t>
  </si>
  <si>
    <t>Lei nº 2.966, de 22/07/2015Publicada no DOE de 07/08/2015</t>
  </si>
  <si>
    <t>Dispõe sobre as diretrizes orçamentárias para o exercício financeiro de 2016 e dá outras providências.</t>
  </si>
  <si>
    <t>Lei nº 2.880, de 18/08/2014Publicada no DOE de 21/08/2014</t>
  </si>
  <si>
    <t>Dispõe sobre as diretrizes orçamentárias para o exercício financeiro de 2015 e dá outras providências.</t>
  </si>
  <si>
    <t>Lei nº 2.719, de 25/07/2013Publicada no DOE de 26/07/2013</t>
  </si>
  <si>
    <t>Dispõe sobre as diretrizes orçamentárias para o exercício financeiro de 2014 e dá outras providências.</t>
  </si>
  <si>
    <t>Lei nº 2.589, de 09/08/2012Publicada no DOE de 15/08/2012</t>
  </si>
  <si>
    <t>Dispõe sobre as diretrizes orçamentárias para o exercício financeiro de 2013, e dá outras providências.</t>
  </si>
  <si>
    <t>Lei nº 2.424, de 08/07/2011Publicada no DOE de 11/07/2011</t>
  </si>
  <si>
    <t>Dispõe sobre as diretrizes orçamentárias para o exercício financeiro de 2012, e dá outras providências.</t>
  </si>
  <si>
    <t>Lei nº 2.299, de 03/08/2010Publicada no DOE de 09/08/2010</t>
  </si>
  <si>
    <t>Dispõe sobre as diretrizes orçamentárias para o exercício financeiro de 2011 e dá outras providências.</t>
  </si>
  <si>
    <t>Lei nº 2.142, de 23/07/2009Publicada no DOE de 29/07/2009</t>
  </si>
  <si>
    <t>Dispõe sobre as diretrizes orçamentárias para o exercício financeiro de 2010.</t>
  </si>
  <si>
    <t>Lei nº 2.014, de 25/07/2008Publicada no DOE de 28/07/2008</t>
  </si>
  <si>
    <t>Dispõe sobre as diretrizes orçamentárias para o exercício financeiro de 2009.</t>
  </si>
  <si>
    <t>Lei nº 1.913, de 31/07/2007Publicada no DOE de 03/08/2007</t>
  </si>
  <si>
    <t>Dispõe sobre as diretrizes orçamentárias para o exercício financeiro de 2008 e dá outras providências</t>
  </si>
  <si>
    <t>Lei nº 1.789, de 03/07/2006Publicada no DOE de 19/07/2006</t>
  </si>
  <si>
    <t>Dispõe sobre as diretrizes orçamentárias para o exercício financeiro de 2007 e dá outras providências.</t>
  </si>
  <si>
    <t>Lei nº 1.651, de 22/07/2005Publicada no DOE de 26/07/2005</t>
  </si>
  <si>
    <t>Dispõe sobre as diretrizes orçamentárias para o exercício financeiro de 2006 e dá outras providências.</t>
  </si>
  <si>
    <t>Lei nº 1.567, de 15/07/2004Publicada no DOE de 16/07/2004</t>
  </si>
  <si>
    <t>Dispõe sobre as diretrizes orçamentárias para o exercício financeiro de 2005 e dá outras providências.</t>
  </si>
  <si>
    <t>Lei nº 1.504, de 11/08/2003Publicada no DOE de 12/08/2003</t>
  </si>
  <si>
    <t>Dispõe sobre as diretrizes orçamentárias para o exercício financeiro de 2004 e dá outras providências.</t>
  </si>
  <si>
    <t>Lei nº 1.468, de 16/07/2002Publicada no DOE de 19/07/2002</t>
  </si>
  <si>
    <t>Dispõe sobre as diretrizes orçamentárias para o exercício financeiro de 2003 e dá outras providências.</t>
  </si>
  <si>
    <t>Lei nº 1.399, de 30/07/2001Publicada no DOE de 02/08/2001</t>
  </si>
  <si>
    <t>Dispõe sobre as diretrizes orçamentárias para o exercício financeiro de 2002 e dá outras providências.</t>
  </si>
  <si>
    <t>Lei nº 1.346, de 20/12/2000Publicada no DOE de 27/12/2000</t>
  </si>
  <si>
    <t>Dispõe sobre as diretrizes orçamentárias para o exercício financeiro de 2001 e dá outras providências.</t>
  </si>
  <si>
    <t>Lei nº 1.292, de 31/08/1999Publicada no DOE de 01/09/1999</t>
  </si>
  <si>
    <t>Dispõe sobre as diretrizes orçamentárias para o exercício financeiro de 2000 e dá outras providências.</t>
  </si>
  <si>
    <t>Lei nº 1.269, de 17/07/1998Publicada no DOE de 20/07/1998</t>
  </si>
  <si>
    <t>Dispõe sobre as diretrizes orçamentárias para o exercício financeiro de 1999 e dá outras providências.</t>
  </si>
  <si>
    <t>Lei nº 1.228, de 27/06/1997Publicada no DOE de 09/07/1997</t>
  </si>
  <si>
    <t>Dispõe sobre as diretrizes orçamentárias para o exercício financeiro de 1998 e dá outras providências.</t>
  </si>
  <si>
    <t>Lei nº 1.184, de 14/06/1996Publicada no DOE de 17/06/1996</t>
  </si>
  <si>
    <t>Dispõe sobre as diretrizes orçamentárias para o exercício financeiro de 1997, e dá outras providências.</t>
  </si>
  <si>
    <t>Lei nº 1.156, de 19/07/1995Publicada no DOE de 20/07/1995</t>
  </si>
  <si>
    <t>Dispõe sobre as diretrizes orçamentárias para o exercício financeiro de 1996, e dá outras providências.</t>
  </si>
  <si>
    <t>Dispõe sobre as diretrizes orçamentárias para o ano de 1995, e dá outras providências.</t>
  </si>
  <si>
    <t>Lei nº 1.082, de 01/07/1993Publicada no DOE de 05/07/1993</t>
  </si>
  <si>
    <t>Dispõe sobre as Diretrizes Orçamentárias para o ano de 1994, e dá outras providências.</t>
  </si>
  <si>
    <t>Dispõe sobre as diretrizes orçamentárias para o ano de 1993 e dá outras providências.</t>
  </si>
  <si>
    <t>Lei nº 988, de 27/08/1991Publicada no DOE de 10/09/1991</t>
  </si>
  <si>
    <t>Dispõe sobre as diretrizes orçamentárias para o ano de 1992 e dá outras providências.</t>
  </si>
  <si>
    <t>Lei nº 943, de 27/06/1990Publicada no DOE de 27/06/1990</t>
  </si>
  <si>
    <t>Dispõe sobre as diretrizes orçamentárias para o ano de 1991 e dá outras providências.</t>
  </si>
  <si>
    <t>Lei nº 4.075, de 28/12/2022Publicada no DOE de 04/01/2023</t>
  </si>
  <si>
    <t>Estima a Receita e fixa a Despesa do Estado para o exercício financeiro de 2023, e dá outras providências.</t>
  </si>
  <si>
    <t>Lei nº 3.891, de 22/12/2021Publicada no DOE de 12/01/2022</t>
  </si>
  <si>
    <t>Estima a Receita e fixa a Despesa do Estado para o exercício financeiro de 2022, e dá outras providências</t>
  </si>
  <si>
    <t>Lei nº 3.715, de 15/01/2021Publicada no DOE de 15/01/2021</t>
  </si>
  <si>
    <t>Estima a Receita e fixa a Despesa do Estado para o exercício financeiro de 2021, e dá outras providências.</t>
  </si>
  <si>
    <t>Lei nº 3.588, de 19/12/2019Publicada no DOE de 30/12/2019</t>
  </si>
  <si>
    <t>Estima a Receita e fixa a Despesa do Estado para o exercício financeiro de 2020, e dá outras providências.</t>
  </si>
  <si>
    <t>Lei nº 3.470, de 28/12/2018Publicada no DOE de 31/12/2018</t>
  </si>
  <si>
    <t>Estima a Receita e fixa a Despesa do Estado para o exercício financeiro de 2019, e dá outras providências.</t>
  </si>
  <si>
    <t>Lei nº 3.370, de 28/12/2017Publicada no DOE de 29/12/2017</t>
  </si>
  <si>
    <t>Estima a Receita e fixa a Despesa do Estado para o exercício financeiro de 2018, e dá outras providências.</t>
  </si>
  <si>
    <t>Lei nº 3.205, de 21/12/2016Publicada no DOE de 29/12/2016</t>
  </si>
  <si>
    <t>Estima a Receita e fixa a Despesa do Estado para o exercício financeiro de 2017.</t>
  </si>
  <si>
    <t>Lei nº 2.882, de 10/10/2014Publicada no DOE de 12/12/2014</t>
  </si>
  <si>
    <t>Estima a Receita e fixa a Despesa do Estado para o exercício financeiro de 2015, e dá outras providências.</t>
  </si>
  <si>
    <t>Estima a Receita e fixa a Despesa do Estado para o exercício financeiro de 2014 e dá outras providências.</t>
  </si>
  <si>
    <t>Lei nº 2.678, de 27/12/2012Publicada no DOE de 28/12/2012</t>
  </si>
  <si>
    <t>Estima a Receita e fixa a Despesa do Estado para o exercício financeiro de 2013, e dá outras providências.</t>
  </si>
  <si>
    <t>Lei nº 2.523, de 20/12/2011Publicada no DOE de 29/12/2011</t>
  </si>
  <si>
    <t>Estima a Receita e fixa a Despesa do Estado para o exercício financeiro de 2012, e dá outras providências.</t>
  </si>
  <si>
    <t>Lei nº 2.412, de 30/12/2010Publicada no DOE de 31/12/2010</t>
  </si>
  <si>
    <t>Estima a Receita e fixa a Despesa do Estado do Acre para o exercício financeiro de 2011.</t>
  </si>
  <si>
    <t>Lei nº 2.253, de 21/12/2009Publicada no DOE de 30/12/2009</t>
  </si>
  <si>
    <t>Estima a Receita e fixa a Despesa do Estado para o exercício financeiro de 2010, e dá outras providências.</t>
  </si>
  <si>
    <t>Lei nº 2.093, de 11/12/2008Publicada no DOE de 11/12/2008</t>
  </si>
  <si>
    <t>Estima a Receita e fixa a Despesa do Estado para o exercício financeiro de 2009, e dá outras providências.</t>
  </si>
  <si>
    <t>Lei nº 1.971, de 27/12/2007Publicada no DOE de 28/12/2007</t>
  </si>
  <si>
    <t>Estima a Receita e fixa a Despesa do Estado do Acre para o exercício financeiro de 2008 e dá outras providências.</t>
  </si>
  <si>
    <t>Lei nº 1.804, de 26/12/2006Publicada no DOE de 29/12/2006</t>
  </si>
  <si>
    <t>Estima a Receita, fixa a Despesa do Estado para o exercício financeiro de 2007 e dá outras providências.</t>
  </si>
  <si>
    <t>Lei nº 1.690, de 21/12/2005Publicada no DOE de 28/12/2005</t>
  </si>
  <si>
    <t>Estima a receita e fixa a despesa do Estado para o exercício financeiro de 2006 e dá outras providências.</t>
  </si>
  <si>
    <t>Lei nº 1.593, de 27/10/2004Publicada no DOE de 30/12/2004</t>
  </si>
  <si>
    <t>Estima a Receita, fixa a Despesa do Estado para o exercício financeiro de 2005 e dá outras providências.</t>
  </si>
  <si>
    <t>Lei nº 1.522, de 26/12/2003Publicada no DOE de 31/12/2003</t>
  </si>
  <si>
    <t>Estima a Receita e fixa a Despesa do Estado para o exercício financeiro de 2004 e dá outras providências.</t>
  </si>
  <si>
    <t>Lei nº 1.470, de 27/12/2002Publicada no DOE de 30/12/2002</t>
  </si>
  <si>
    <t>Estima a Receita, fixa a Despesa do Estado para o exercício financeiro de 2003 e dá outras providências.</t>
  </si>
  <si>
    <t>Lei nº 1.425, de 27/12/2001Publicada no DOE de 31/12/2001</t>
  </si>
  <si>
    <t>Estima a Receita, fixa a Despesa do Estado para o exercício financeiro de 2002 e dá outras providências.</t>
  </si>
  <si>
    <t>Lei nº 1.347, de 27/12/2000Publicada no DOE de 29/12/2000</t>
  </si>
  <si>
    <t>Estima a Receita, fixa a Despesa do Estado para o exercício financeiro de 2001 e dá outras providências.</t>
  </si>
  <si>
    <t>Lei nº 1.306, de 24/12/1999Publicada no DOE de 30/12/1999</t>
  </si>
  <si>
    <t>Estima a Receita, fixa a Despesa do Estado para o exercício financeiro de 2000 e dá outras providências.</t>
  </si>
  <si>
    <t>Lei nº 1.276, de 13/01/1999Publicada no DOE de 13/01/1999</t>
  </si>
  <si>
    <t>Estima a Receita, fixa a Despesa do Estado para o exercício financeiro de 1999, e dá outras providências.</t>
  </si>
  <si>
    <t>Lei nº 1.257, de 22/12/1997Publicada no DOE de 26/12/1997</t>
  </si>
  <si>
    <t>Estima a Receita e fixa Despesa do Estado para o exercício financeiro de 1998, e dá outras providências.</t>
  </si>
  <si>
    <t>Lei nº 1.221, de 17/12/1996Publicada no DOE de 26/12/1996</t>
  </si>
  <si>
    <t>Estima a Receita, fixa a Despesa do Estado para o exercício financeiro de 1997, e dá outras providências.</t>
  </si>
  <si>
    <t>Lei nº 1.174, de 22/12/1995Publicada no DOE de 28/12/1995</t>
  </si>
  <si>
    <t>Estima a Receita, Fixa a Despesa do Estado para o exercício financeiro de 1996, e dá outras providências.</t>
  </si>
  <si>
    <t>Lei nº 1.152, de 19/01/1995Publicada no DOE de 19/03/1995</t>
  </si>
  <si>
    <t>Estima a receita, fixa a despesa do Estado para o exercício financeiro de 1995, e dá outras providências.</t>
  </si>
  <si>
    <t>Lei nº 1.106, de 17/12/1993Publicada no DOE de 17/12/1993</t>
  </si>
  <si>
    <t>Estima a receita, fixa a despesa do Estado para o exercício financeiro de 1994, e dá outras providências.</t>
  </si>
  <si>
    <t>Lei nº 1.075, de 31/12/1992Publicada no DOE de 31/12/1992</t>
  </si>
  <si>
    <t>Estima a receita, fixa a despesa do Estado para o exercício financeiro de 1993, e dá outras providências.</t>
  </si>
  <si>
    <t>Lei nº 1.017, de 20/12/1991Publicada no DOE de 30/12/1991</t>
  </si>
  <si>
    <t>Estima a receita, fixa a despesa do Estado para o exercício financeiro de 1992 e dá outras providências.</t>
  </si>
  <si>
    <t>Lei nº 965, de 19/12/1990Publicada no DOE de 31/12/1990</t>
  </si>
  <si>
    <t>Estima a receita, fixa a despesa do Estado para o exercício financeiro de 1991 e dá outras providências.</t>
  </si>
  <si>
    <t>Lei nº 3.098, de 29/12/2015Publicada no DOE de 31/12/2015</t>
  </si>
  <si>
    <t>Dispõe sobre a Lei Orçamentária Anual – LOA, exercício de 2016, em cumprimento aos arts. 150, 158 e 159, todos da Constituição Estadual.</t>
  </si>
  <si>
    <t>Nome</t>
  </si>
  <si>
    <t>RP</t>
  </si>
  <si>
    <t>OUTRAS FONTES</t>
  </si>
  <si>
    <t>TOTAL LOA</t>
  </si>
  <si>
    <t>Lei Complementar nº 63, de 13/01/1999Publicada no DOE de 22/01/1999</t>
  </si>
  <si>
    <t>Dispõe sobre a reorganização da Administração Pública e dá outras providências.</t>
  </si>
  <si>
    <t>Lei nº 4.282, de 27/12/2023Publicada no DOE de 12/01/2024</t>
  </si>
  <si>
    <t xml:space="preserve">Nº de citações </t>
  </si>
  <si>
    <t>METAS e PRIORIDADES - Programa/Código</t>
  </si>
  <si>
    <t>Lei nº 4.281, de 27/12/2023Publicada no DOE de 12/01/2024</t>
  </si>
  <si>
    <t>Estima a receita e fixa a despesa do Estado para o exercício financeiro de 2024, e dá outras providências.</t>
  </si>
  <si>
    <t>Lei nº 4.380, de 30/07/2024Publicada no DOE de 01/08/2024</t>
  </si>
  <si>
    <t>Dispõe sobre as diretrizes orçamentárias do Estado do Acre para o exercício financeiro de 2025.</t>
  </si>
  <si>
    <t>Lei nº 4.627, de 31/07/2025Publicada no DOE de 01/08/2025</t>
  </si>
  <si>
    <t>Dispõe sobre as diretrizes orçamentárias do Estado do Acre para o exercício financeiro de 2026.</t>
  </si>
  <si>
    <t>Lei nº 4.511, de 30/12/2024Publicada no DOE de 10/01/2025</t>
  </si>
  <si>
    <t>Estima a receita e fixa a despesa do Estado para o exercício financeiro de 2025 e dá outras providências.</t>
  </si>
  <si>
    <t>Descritores:</t>
  </si>
  <si>
    <t xml:space="preserve">Dispõe sobre o Plano Plurianual - PPA do Estado do Acre para o quadriênio 2024-2027. </t>
  </si>
  <si>
    <t>-</t>
  </si>
  <si>
    <t>0/0</t>
  </si>
  <si>
    <t>Lei nº 4.753, de 31/12/2025Publicada no DOE de 12/01/2026</t>
  </si>
  <si>
    <t>Estima a receita e fixa a despesa do Estado para o exercício financeiro de 2026 e dá outras providências.</t>
  </si>
  <si>
    <t>Nº da Lei Órdinaria</t>
  </si>
  <si>
    <t>Atualizado em:</t>
  </si>
  <si>
    <t>Criança; Adolescente</t>
  </si>
  <si>
    <t>LEI Nº 1.011, DE 18 DE DEZEMBRO DE 1991</t>
  </si>
  <si>
    <t xml:space="preserve">	Dispõe sobre a criação e regulamentação do Conselho Estadual dos Direitos da Criança e do Adolescente.</t>
  </si>
  <si>
    <t>LEI Nº 1.326, DE 09 DE FEVEREIRO DE 2000</t>
  </si>
  <si>
    <t xml:space="preserve">	Institui o Programa Bolsa Escola, para atendimento às famílias carentes, cujas crianças se encontrem em precária situação social, familiar e dá outras providências.</t>
  </si>
  <si>
    <t>LEI Nº 1.371, DE 02 DE MARÇO DE 2001</t>
  </si>
  <si>
    <t xml:space="preserve">	Estabelece normas de guarda às crianças e adolescentes abandonados ou disponíveis à adoção nacional e internacional.</t>
  </si>
  <si>
    <t>LEI Nº 1.438, DE 04 DE MARÇO DE 2002</t>
  </si>
  <si>
    <t xml:space="preserve">	Considera de utilidade pública o Programa Recriança.</t>
  </si>
  <si>
    <t>LEI Nº 1.517, DE 12 DE DEZEMBRO DE 2003</t>
  </si>
  <si>
    <t xml:space="preserve">	Considera de utilidade pública a Associação Recanto da Criança e do Adolescente.</t>
  </si>
  <si>
    <t>LEI Nº 1.652, DE 09 DE AGOSTO DE 2005</t>
  </si>
  <si>
    <t xml:space="preserve">	Proíbe a realização de eventos públicos com atividades aquáticas para crianças e adolescentes, sem o uso obrigatório de coletes salva-vidas.</t>
  </si>
  <si>
    <t>LEI Nº 1.661, DE 19 DE AGOSTO DE 2005</t>
  </si>
  <si>
    <t xml:space="preserve">	Institui Noções Básicas sobre o Estatuto da Criança e do Adolescente – ECA, como conceito a ser ministrado nas escolas da rede pública e privada do Estado do Acre.</t>
  </si>
  <si>
    <t>LEI Nº 1.662, DE 19 DE AGOSTO DE 2005</t>
  </si>
  <si>
    <t xml:space="preserve">	Institui os títulos de Empresa Criança, às pessoas jurídicas e Amigo da Criança, às pessoas físicas que contribuírem para a educação das crianças das escolas da rede pública estadual, do ensino fundamental e médio.</t>
  </si>
  <si>
    <t>LEI Nº 1.352, DE 29 DE DEZEMBRO DE 2000</t>
  </si>
  <si>
    <t xml:space="preserve">	Dispõe sobre a assistência religiosa com liberdade de culto ao enfermo, ao idoso, ao militar, à criança e adolescente e a qualquer pessoa que se encontre em estabelecimento de internação coletiva.</t>
  </si>
  <si>
    <t>LEI Nº 1.727, DE 31 DE JANEIRO DE 2006</t>
  </si>
  <si>
    <t>LEI Nº 1.736, DE 01 DE FEVEREIRO DE 2006</t>
  </si>
  <si>
    <t xml:space="preserve">	Considera de Utilidade Pública a Fundação Lar da Criança Novas de Paz.</t>
  </si>
  <si>
    <t>LEI Nº 1.981, DE 02 DE JANEIRO DE 2008</t>
  </si>
  <si>
    <t>Torna obrigatória a afixação de placas em hotéis, pensões, motéis e estabelecimentos congêneres, alertando que a exploração sexual de crianças e adolescentes é crime.</t>
  </si>
  <si>
    <t>LEI Nº 1.983, DE 02 DE JANEIRO DE 2008</t>
  </si>
  <si>
    <t xml:space="preserve">	Dispõe sobre a instalação de equipamentos de lazer e recreação para crianças cadeirantes.</t>
  </si>
  <si>
    <t>LEI Nº 2.683, DE 09 DE JANEIRO DE 2013</t>
  </si>
  <si>
    <t>Dispõe sobre a criação da Notificação Compulsória do uso de álcool e outras drogas por crianças e adolescentes, no âmbito do Estado.</t>
  </si>
  <si>
    <t>LEI Nº 2.960, DE 14 DE MAIO DE 2015</t>
  </si>
  <si>
    <t xml:space="preserve">	Institui o Dia do Agente de Proteção da Criança e Juventude.</t>
  </si>
  <si>
    <t>LEI Nº 3.136, DE 06 DE JUNHO DE 2016</t>
  </si>
  <si>
    <t xml:space="preserve">	Obriga os hospitais públicos e particulares a comunicarem às delegacias de policia, sobre os atendimentos realizados em unidades de pronto atendimento de casos de idosos, mulheres, crianças e adolescentes vítimas de agressões físicas.</t>
  </si>
  <si>
    <t>LEI Nº 3.257, DE 09 DE JUNHO DE 2017</t>
  </si>
  <si>
    <t xml:space="preserve">	Declara de Utilidade Pública a Aliança Pró Evangelização das Crianças – APEC.</t>
  </si>
  <si>
    <t>LEI Nº 3.396, DE 26 DE JULHO DE 2018</t>
  </si>
  <si>
    <t xml:space="preserve">	Estabelece a obrigatoriedade das unidades básicas de saúde a disponibilizarem a segunda via da carteira de vacinação da criança, ou documento similar, devidamente atualizada, no âmbito do Estado.</t>
  </si>
  <si>
    <t>LEI Nº 3.398, DE 26 DE JULHO DE 2018</t>
  </si>
  <si>
    <t xml:space="preserve">	Estabelece a obrigatoriedade de exigência da carteira de vacinação da criança, ou documento similar no ato da matrícula dos alunos da educação infantil e da primeira etapa do ensino fundamental.</t>
  </si>
  <si>
    <t>LEI Nº 3.633, DE 26 DE MAIO DE 2020</t>
  </si>
  <si>
    <t xml:space="preserve">	Dispõe sobre a comunicação pelos condomínios residenciais aos órgãos de segurança pública, sobre a ocorrência ou de indícios de violência doméstica e familiar contra mulher, criança, adolescente ou idoso, em seus interiores, quando houver registro da violência no livro de ocorrências.</t>
  </si>
  <si>
    <t>LEI Nº 3.762, DE 19 DE JULHO DE 2021</t>
  </si>
  <si>
    <t xml:space="preserve">	Autoriza o Poder Executivo incluir a apuração do Orçamento Criança e Adolescente – OCAD, como Anexo ao Orçamento do Estado.</t>
  </si>
  <si>
    <t>LEI Nº 3.816, DE 03 DE DEZEMBRO DE 2021</t>
  </si>
  <si>
    <t xml:space="preserve">	Dispõe sobre o acompanhamento pedagógico de crianças e adolescentes na escola, pelos pais ou responsáveis legais.</t>
  </si>
  <si>
    <t>LEI Nº 4.142, DE 09 DE AGOSTO DE 2023</t>
  </si>
  <si>
    <t xml:space="preserve">	Assegura às crianças e aos adolescentes que, comprovadamente, por meio de laudo médico ou pericial, tenham sido vítimas de abuso e exploração sexual, a prioridade no atendimento psicológico na Rede Pública de Saúde do Estado.</t>
  </si>
  <si>
    <t>LEI Nº 4.145, DE 09 DE AGOSTO DE 2023</t>
  </si>
  <si>
    <t xml:space="preserve">	Dispõe sobre a garantia de prioridade de tramitação dos procedimentos investigatórios que visem à apuração e responsabilização de crimes, dolosos ou culposos, que tenham como vítimas crianças e adolescentes.</t>
  </si>
  <si>
    <t>Dispõe sobre a cartilha de orientação às crianças e adolescentes para a prevenção contra crimes que atinjam a dignidade sexual na rede mundial de computadores.</t>
  </si>
  <si>
    <t>LEI Nº 4.151, DE 09 DE AGOSTO DE 2023</t>
  </si>
  <si>
    <t>LEI Nº 4.316, DE 05 DE JANEIRO DE 2024</t>
  </si>
  <si>
    <t>Veda a utilização de verba pública em produtos, serviços, espaços ou eventos que promovam, direta ou indireta, a erotização precoce, a sexualização ou outros conteúdos impróprios ao desenvolvimento psíquico de crianças e adolescentes, no Estado.</t>
  </si>
  <si>
    <t>Dispõe sobre o fornecimento de fraldas descartáveis para crianças e idosos com deficiência no Estado.</t>
  </si>
  <si>
    <t>LEI Nº 4.343, DE 21 DE MARÇO DE 2024</t>
  </si>
  <si>
    <t>LEI Nº 4.408, DE 03 DE OUTUBRO DE 2024</t>
  </si>
  <si>
    <t>Dispõe sobre a obrigatoriedade da criação ou adaptação de no mínimo uma sala reservada e equipada em todos os Institutos Médico-Legais IMLs do Estado para atendimento de crianças e adolescentes vítimas de violência ou que estejam como acompanhantes.</t>
  </si>
  <si>
    <t>LEI Nº 4.554, DE 24 DE MARÇO DE 2025</t>
  </si>
  <si>
    <t>Torna obrigatória a realização do Teste do Reflexo Vermelho em crianças recém-nascidas em todos os hospitais e maternidades do Estado.</t>
  </si>
  <si>
    <t>LEI Nº 4.557, DE 24 DE MARÇO DE 2025</t>
  </si>
  <si>
    <t>Institui a obrigatoriedade da facilitação para realização de aferição de glicemia regular em crianças a partir de três anos de idade, atendidas pelas redes públicas e privadas de saúde no Estado.</t>
  </si>
  <si>
    <t>LEI Nº 4.613, DE 24 DE JULHO DE 2025</t>
  </si>
  <si>
    <t>Institui a Semana de Combate à Exploração do Trabalho da Criança e do Adolescente.</t>
  </si>
  <si>
    <t>LEI Nº 4.618, DE 24 DE JULHO DE 2025</t>
  </si>
  <si>
    <t>Institui a Política de Incentivo ao Esporte para Crianças e Adolescentes em Situação de Vulnerabilidade Socioeconômica no Estado.</t>
  </si>
  <si>
    <t>LEI Nº 4.647, DE 22 DE SETEMBRO DE 2025</t>
  </si>
  <si>
    <t>Dispõe sobre o Treinamento aos profissionais da segurança pública para estabelecer a escuta especializada em depoimento de crianças e adolescentes.</t>
  </si>
  <si>
    <t>LEI Nº 4.754, DE 19 DE JANEIRO DE 2026</t>
  </si>
  <si>
    <t>Institui a obrigatoriedade de aferição da pressão arterial o chamado teste do bracinho, nas consultas pediátricas em crianças a partir de três anos de idade, atendidas pela rede pública e privada de saúde.</t>
  </si>
  <si>
    <t>Dispõe sobre a criação do Programa Estadual de Inserção Social de Adolescentes submetidos a Medidas Socioeducativas.</t>
  </si>
  <si>
    <t>LEI Nº 2.835, DE 30 DE DEZEMBRO DE 2013</t>
  </si>
  <si>
    <t>Institui o Fórum Estadual de Oportunidade da Aprendizagem Profissional – FEOAP e inclusão de jovem aprendiz e adolescentes no mercado de trabalho.</t>
  </si>
  <si>
    <t>LEI Nº 3.400, DE 30 DE JULHO DE 2018</t>
  </si>
  <si>
    <t>Institui o Selo Empresa Amiga do Jovem e do Adolescente.</t>
  </si>
  <si>
    <t>LEI Nº 3.735, DE 25 DE MAIO DE 2021</t>
  </si>
  <si>
    <t>Dispõe sobre a criação do Programa Combate a Gravidez Precoce - Adolescente Consciente” no Estado.</t>
  </si>
  <si>
    <t>LEI Nº 4.580, DE 24 DE MARÇO DE 2025</t>
  </si>
  <si>
    <t>Considera de utilidade pública a União Recreativa da Juventude do Bosque.</t>
  </si>
  <si>
    <t>LEI Nº 71, DE 30 DE SETEMBRO DE 1966</t>
  </si>
  <si>
    <t>Cria o Conselho Estadual da Juventude do Acre – CEJAC e dispõe sobre a Conferência Estadual da Juventude.</t>
  </si>
  <si>
    <t>LEI Nº 1.600, DE 27 DE DEZEMBRO DE 2004</t>
  </si>
  <si>
    <t>Dispõe sobre o livre acesso, nos eventos públicos e privados do Agente de Proteção da Infância e Juventude.</t>
  </si>
  <si>
    <t>LEI Nº 2.961, DE 14 DE MAIO DE 2015</t>
  </si>
  <si>
    <t>Cria a Semana da Juventude no Estado do Acre.</t>
  </si>
  <si>
    <t>LEI Nº 2.962, DE 14 DE MAIO DE 2015</t>
  </si>
  <si>
    <t>Cria Jardins de Infância na capital e nos municípios.</t>
  </si>
  <si>
    <t>LEI Nº 16, DE 11 DE NOVEMBRO DE 1964</t>
  </si>
  <si>
    <t>Institui o Programa Primeira Infância Acreana – PIA.</t>
  </si>
  <si>
    <t>LEI Nº 3.367, DE 27 DE DEZEMBRO DE 2017</t>
  </si>
  <si>
    <t>Dispõe sobre a criação de Observatório de Proteção Integral à Infância e Adolescência.</t>
  </si>
  <si>
    <t>LEI Nº 3.777, DE 23 DE AGOSTO DE 2021</t>
  </si>
  <si>
    <t>DECRETO Nº 8.232, DE 04 DE MARÇO DE 2021</t>
  </si>
  <si>
    <t xml:space="preserve">	Institui o Comitê de Apuração do Orçamento Criança e Adolescente - OCAD no âmbito do Estado do Acre e dá outras providências.</t>
  </si>
  <si>
    <t>DECRETO Nº 11.049, DE 10 DE MAIO DE 2022</t>
  </si>
  <si>
    <t>Altera Decreto nº 8.232, de 4 de março de 2021, que Institui o Comitê de Apuração do Orçamento Criança e Adolescente - OCAD no âmbito do Estado do Acre e propor alterações.</t>
  </si>
  <si>
    <t>DECRETO Nº 11.287, DE 18 DE JULHO DE 2023</t>
  </si>
  <si>
    <t>Altera o Decreto nº 8.232, de 4 de março de 2021, que institui o Comitê de Apuração do Orçamento Criança e Adolescente - OCAD no âmbito do Estado do Acre, para dispor sobre a adequação de nomenclaturas.</t>
  </si>
  <si>
    <t>DECRETO Nº 11.345, DE 17 DE OUTUBRO DE 2023</t>
  </si>
  <si>
    <t xml:space="preserve">	Dispõe sobre a Convocação da 4ª Conferência Estadual de Juventude.</t>
  </si>
  <si>
    <t>Institui o Comitê Gestor Intersetorial dos Programas pela Primeira Infância no âmbito do Estado do Acre.</t>
  </si>
  <si>
    <t>DECRETO Nº 8.155, DE 01 DE MARÇO DE 2021</t>
  </si>
  <si>
    <t>Menino; Menina; Criança; Adolescente; Juventude;Infância;Adolescência;Filho;Filhos</t>
  </si>
  <si>
    <t>LEI Nº 3.096, DE 23 DE DEZEMBRO DE 2015</t>
  </si>
  <si>
    <t xml:space="preserve">	Dispõe sobre Políticas Públicas de Assistência às Parturientes, cujos filhos recém-nascidos sejam pessoas com deficiência.</t>
  </si>
  <si>
    <t>LEI COMPLEMENTAR Nº 359, DE 24 DE MAIO DE 2019</t>
  </si>
  <si>
    <t>LEI Nº 4.085, DE 16 DE FEVEREIRO DE 2023</t>
  </si>
  <si>
    <t xml:space="preserve">	
Altera a Lei Complementar nº 419, de 15 de dezembro de 2022, que estabelece a estrutura básica da administração do Poder Executivo.</t>
  </si>
  <si>
    <t>LEI Nº 4.167, DE 06 DE SETEMBRO DE 2023</t>
  </si>
  <si>
    <t xml:space="preserve">	
Altera a Lei Complementar nº 419, de 15 de dezembro de 2022, que estabelece a estrutura básica da administração do Poder Executivo e revoga a Lei Complementar nº 355, de 28 de dezembro de 2018.</t>
  </si>
  <si>
    <t>LEI Nº 2.967, DE 22 DE JULHO DE 2015</t>
  </si>
  <si>
    <t xml:space="preserve">	
Altera e acresce dispositivos à Lei n. 1.011, de 18 de dezembro de 1991, que “Dispõe sobre a criação e regulamentação do Conselho Estadual dos Direitos da Criança e do Adolescente-CEDCA.</t>
  </si>
  <si>
    <t>SECRETARIA EXTRAORDINARIA DA JUVENTUDE</t>
  </si>
  <si>
    <t>ASSESSORIA DA JUVENTUDE (GAB GOVERNADOR)</t>
  </si>
  <si>
    <t>ASSESSORIA DA JUVENTUDE/SECRETARIA DE ESTADO DE DESENVOLVIMENTO SOCIAL (SEDS)</t>
  </si>
  <si>
    <t>ASSESSORIA DA JUVENTUDE (GAB GOVERNADOR)/SECRETARIA DE ESTADO DE DESENVOLVIMENTO SOCIAL (SEDS)</t>
  </si>
  <si>
    <t>Dispõe sobre a criação e regulamentação do Conselho Estadual dos Direitos da Criança e do Adolescente.</t>
  </si>
  <si>
    <t>Criação do CEDCA</t>
  </si>
  <si>
    <t>Alteração do CDCA</t>
  </si>
  <si>
    <t>LEI COMPLEMENTAR Nº 355, DE 28 DE DEZEMBRO DE 2018</t>
  </si>
  <si>
    <t>Secretaria de Estado de Assistência Social, dos Direitos Humanos e de Políticas para Mulheres – SEASDHM</t>
  </si>
  <si>
    <t>SEE (promoção de políticas para a juventude.)/ SEASDH (políticas estaduais de assistência e proteção social à criança, ao adolescente, aos jovens, ao idoso, às pessoas com deficiência e às minorias;)</t>
  </si>
  <si>
    <t>SEASD (políticas estaduais de assistência e proteção social à criança, ao adolescente, aos jovens, ao idoso, às pessoas com deficiência e às minorias;)/Secretaria Adjunta de Articulação Esportiva e Juventude</t>
  </si>
  <si>
    <t>Secretário Adjunto de Articulação Esportiva e Juventude (SEE)</t>
  </si>
  <si>
    <t>Criança e Adolescente</t>
  </si>
  <si>
    <t>CRIANÇA/ADOLESCENTE</t>
  </si>
  <si>
    <t>1/0_</t>
  </si>
  <si>
    <t>23/16_</t>
  </si>
  <si>
    <t>23/15_</t>
  </si>
  <si>
    <t>23/12_</t>
  </si>
  <si>
    <t>25/14_</t>
  </si>
  <si>
    <t>19/25_</t>
  </si>
  <si>
    <t>52/59_</t>
  </si>
  <si>
    <t>03/01_</t>
  </si>
  <si>
    <t xml:space="preserve"> _apoiar as ações voltadas para a assistência da criança, do adolescente, da mulher, do idoso e do trabalhador, bem como aos toxicômanos, alcoólatras e portadores de deficiências; 
 _apoiar e ampliar as ações voltadas para assistência a crianças carentes, às comunidades  pobres e aos dependentes de droga e álcool, bem como visando a integração da pessoa idosa e dos deficientes na comunidade;
 _prosseguir o atendimento às crianças em creches; </t>
  </si>
  <si>
    <t>10/4_</t>
  </si>
  <si>
    <t xml:space="preserve">Garantir os direitos da criança e do 
adolescente e, situação de risco pessoal e 
social;
Promover manifestações desportivas e apoiar 
projetos e atividades relacionados à ação 
desportiva comunitária, priorizando a criança,
o adolescente, as pessoas portadoras de 
deficiência, as pessoas da terceira idade e as 
comunidades carentes;
Apoiar o desenvolvimento de recursos humanos para a atenção 
integral a saúde da mulher e da criança;
Apoiar a redução da desnutrição de criança de até 5 anos;
Projetos de apoio às crianças e adolescentes carentes em parceria com 
entidades civil;
</t>
  </si>
  <si>
    <t>18/15_</t>
  </si>
  <si>
    <t>Promover a proteção e defesa do consumidor, garantir a prestação de 
assistência jurídica gratuita, reparar danos causados ao meio ambiente, ao 
consumidor, a bens e direitos de valor artístico, estético, histórico, turístico, 
paisagístico, de portadores de deficiência, crianças, adolescentes, por 
infração à ordem econômica e a outros interesses difusos e coletivos, e a 
gestão dos programas finalísticos da administração Governamental;
Apoio às ações preventivas e de combater ao abuso e a exploração sexual de crianças e adolescentes;
Programas de apoio e atendimento a crianças e adolescentes carentes, idosos, portadores de necessidades especiais, dependentes químicos e minorias;
Assegurar o atendimento a crianças;
Atendimento a crianças em creches e pré escolas;
Programa de Enfrentamento, Prevenção e Combate a Violência Intrafamiliar e o Abuso Sexual com Crianças, Adolescentes e Mulheres nos Centros de Florestania;
Programa Esporte Comunitário com Qualidade Social;
Reduzir o número de crianças e adolescentes em situação de risco e promover 
a defesa dos direitos da criança e humanização do ambiente de internação;
Apoio a campanhas de difusão de informações sócio-educativas e de serviços 
sobre HIV, o Estatuto da Criança e do Adolescente - ECA e drogas, e política de proteção à criança e ao adolescente;
Garantia dos direitos do Estatuto da Criança e do Adolescente - ECA nas Unidades de 
internação;
Proteção especial a criança e ao adolescente em situação de risco;
Atenção as crianças e adolescentes portadoras de necessidades especiais;
Reduzir a violência entre jovens e adolescentes nas escolas;</t>
  </si>
  <si>
    <t>23/20_</t>
  </si>
  <si>
    <t>Promover a proteção e defesa do consumidor, garantir a prestação de assistência jurídica gratuita, reparar danos causados ao meio ambiente, ao consumidor, a bens e direitos de valor artístico, estético, histórico, 
turístico, paisagístico, de portadores de deficiência, crianças, adolescentes, por infração à ordem econômica e a outros interesses difusos e coletivos, e a gestão dos programas finalísticos da administração Governamental;
Apoio as ações preventivas e de combate ao abuso e a exploração sexual de crianças e adolescentes;
Programas de apoio e atendimento a crianças e adolescentes carentes, idosos, portadores de necessidades especiais, dependentes químicos e minorias;
Assegurar o atendimento a crianças;
Atendimento a crianças em creches e pré-escolas;
Programa de Enfrentamento, Prevenção e Combate a Violência Intrafamiliar e o 
Abuso Sexual com Crianças, Adolescentes e Mulheres nos Centros de Florestania;
Programa Esporte Comunitário com Qualidade Social;
Reduzir o número de crianças e adolescentes em situação de risco e promover a defesa dos direitos da criança e humanização do ambiente de internação;
Apoio a campanhas de difusão de informações sócio-educativas e de 
serviços sobre HIV, o Estatuto da Criança e do Adolescente - ECA e drogas, e política de proteção à criança e ao adolescente;
Garantia dos direitos do Estatuto da Criança e do Adolescente - ECA nas Unidades de internação;
Proteção especial a criança e ao adolescente em situação de risco;
Atenção as crianças e adolescentes portadoras de necessidades especiais;
Apoio a projeto sociais crianças de 0 a 5 anos;
Assistência  aos municípios na implementação de programas de proteção a criança e do adolescente. 
Reduzir a violência entre jovens e adolescentes nas escolas;
Inclusão do adolescente em situação de risco social e programas destinados a juventude;</t>
  </si>
  <si>
    <t>26/24_</t>
  </si>
  <si>
    <r>
      <rPr>
        <sz val="9"/>
        <color theme="1"/>
        <rFont val="Calibri"/>
        <family val="2"/>
        <scheme val="minor"/>
      </rPr>
      <t xml:space="preserve">
Promover a proteção e defesa do consumidor, garantir a prestação de assistência jurídica gratuita, reparar danos causados ao meio ambiente, ao consumidor, a bens e direitos de valor artístico, estético, histórico,  turístico, paisagístico, de portadores de deficiência, crianças, adolescentes, por infração à ordem econômica e a outros interesses difusos e coletivos e a gestão dos programas finalísticos da administração governamental;
Apoio às ações preventivas e de combate ao abuso e à exploração sexual de crianças e adolescentes;
Programa de apoio e atendimento a crianças e adolescentes carentes, idosos, portadores de necessidades especiais, dependentes químicos  e minorias;
Assegurar o Atendimento à Criança;
Atendimento a crianças em educação infantil em parceria com as prefeituras (Crianças atendidas);
Programa de Enfrentamento, Prevenção e Combate à Violência Intrafamiliar e ao abuso sexual com crianças, adolescentes e mulheres nos Centros de Florestania;
Programa Esporte Comunitário com Qualidade Social (Crianças e adolescentes beneficiados);
Defesa dos Direitos da Criança e do Adolescente;
Reduzir o número de crianças e adolescentes em situação de risco e promover a defesa dos direitos da criança e humanização do ambiente de internação;
Apoio a campanhas de difusão de informações sócio educativas e de serviços sobre HIV, o Estatuto da Criança e do Adolescente – ECA e drogas e política de proteção à criança e ao adolescente; (Crianças e adolescentes de rua assistidos);
Garantia dos direitos do Estatuto da Criança e do Adolescente – ECA nas unidades de internação;
Proteção especial à criança e ao adolescente em situação de risco;
Atenção às crianças e adolescentes portadores de necessidades especiais (Crianças e adolescentes portadores de necessidades especiais atendidos);
Apoio a projetos sociais para crianças de 0 a 5 anos;
Assistência aos municípios na implementação de programas de proteção a criança e do adolescente;
Inclusão do adolescente em situação de risco social e programas destinados a juventude;
Assistência aos municípios na implementação de programas de proteção a criança e do adolescente;
Inclusão de Adolescentes em MSE e famílias em programas de qualificação profissional e geração de renda;
Reduzir a violência entre jovens e adolescentes nas escolas;
</t>
    </r>
    <r>
      <rPr>
        <sz val="11"/>
        <color theme="1"/>
        <rFont val="Calibri"/>
        <family val="2"/>
        <scheme val="minor"/>
      </rPr>
      <t xml:space="preserve">
</t>
    </r>
  </si>
  <si>
    <t>0/3_</t>
  </si>
  <si>
    <t xml:space="preserve">Centros SócioEducativos e Núcleos de Atendimento Inicial construídos e aparelhados - Adolescentes qualificados - Adolescentes atendidos  </t>
  </si>
  <si>
    <t>0/4_</t>
  </si>
  <si>
    <t>MELHORIA DA QUALIDADE DO SERVIÇO DE ATENDIMENTO SÓCIOEDUCATIVO E ATENÇÃO INTEGRAL AO ADOLESCENTE E APOIO À SUA FAMÍLIA;
Promover atividades de educação profissional e arte educação para os adolescentes em regime de internação;
Promover atividades de promoção à saúde do adolescente;</t>
  </si>
  <si>
    <t>0/2_</t>
  </si>
  <si>
    <t xml:space="preserve">Qualificação Profissional à Adolescentes em Empreendimentos Socioprodutivos;
</t>
  </si>
  <si>
    <t xml:space="preserve">1425 -  POLÍTICA DE ATENDIMENTO AOS DIREITOS DA CRIANÇA E DO ADOLESCENTE;
1426 - FORTALECIMENTO DA ASSISTÊNCIA SOCIAL (Estruturação de unidades de acolhimento para idosos, mulheres e crianças)/(Apoio a unidade de acolhimento de crianças e adolescentes);
1427 - PROTEÇÃO ÀS CRIANÇAS E ADOLESCENTES VÍTIMAS DE FEMINICIDIO  (Implantação do Programa de Auxílio às Crianças e Adolescentes órfãos de feminicídios).
</t>
  </si>
  <si>
    <t>05/04_</t>
  </si>
  <si>
    <t>1/1_</t>
  </si>
  <si>
    <t>Art. 10. A LOA para o exercício de 2024 conterá dispositivos para adaptar as receitas e despesas e os limites de execução orçamentária e financeira aos efeitos econômicos de: VI - a apuração do Orçamento Criança e Adolescente - OCAD, instituído pela Lei nº 3.762, de 19 de julho de 2021;</t>
  </si>
  <si>
    <t>3/3_</t>
  </si>
  <si>
    <t>Parágrafo único. Os dispositivos de que trata o caput deverão prever critérios especiais restringindo a possibilidade de limitação dos programas orçamentários vinculados aos orçamentos temáticos previstos na Lei nº 3�762, de 19 de julho de 2021, que dispõe sobre o Orçamento Criança e Adolescente - OCAD, e na Lei nº 4�168 de 6 de setembro de 2023, que dispõe sobre o Orçamento Sensível ao Gênero - OSG;
1465 - Fortalecimento da Política de Saúde da Criança e Adolescente;
1469 - Garantia do cofinanciamento estadual aos municípios para a execução da política de assistência social (Cofinanciamento para ampliar a oferta de vagas em Serviço de Acolhimento (criança, adolescente, idoso, pop rua, migrantes e outros)).</t>
  </si>
  <si>
    <t>Parágrafo único. Os dispositivos de que trata o caput deverão prever critérios que assegurem prioridade na alocação, execução e preservação dos recursos destinados aos programas orçamentários vinculados aos orçamentos temáticos previstos na Lei nº 3.762, de 19 de julho de 2021, que dispõe sobre o Orçamento Criança e Adolescente - OCAD, e na Lei nº 4.168 de 6 de setembro de 2023, que dispõe sobre o Orçamento Sensível ao Gênero - OSG e dos programas orçamentários destinados à adaptação e mitigação das mudanças climáticas.</t>
  </si>
  <si>
    <t>Secretaria de Estado de Ação Social (VALORES EM Cr$ 1.000)/Secretaria de Estado de Educação e Cultura (VALORES EM Cr$ 1.000).</t>
  </si>
  <si>
    <t>Secretaria de Estado de Ação Social (VALORES EM Cr$ 1.000))/Secretaria de Estado de Educação e Cultura (VALORES EM Cr$ 1.000).</t>
  </si>
  <si>
    <t>Secretaria de Estado de Ação Social*/Secretaria de Estado de Educação e Cultura</t>
  </si>
  <si>
    <t>Sec. de Estado de Cidadania, Trabalho e Assist. Social*/Fundo Estadual de Assistência Social – FEAS/Fundo de Atendimento aos Direitos da Criança e do Adolescente – FDDA/Secretaria Estado de Educação</t>
  </si>
  <si>
    <t>Sec. de Estado de Cidadania, Trabalho e Assist. Social*/Fundo Estadual de Assistência Social – FEAS/Fundo de Atendimento aos Direitos da Criança e do Adolescente – FDCA/Secretaria Estado de Educação</t>
  </si>
  <si>
    <t>Sec. de Estado de Cidadania, Trabalho e Assist. Social*/Secretaria Estado de Educação</t>
  </si>
  <si>
    <t>Secretaria Extraordinária da Juventude/Secretaria Estado de Educação</t>
  </si>
  <si>
    <t>Secretaria de Assistência Social*/Secretaria Estado de Educação</t>
  </si>
  <si>
    <t>722/717_</t>
  </si>
  <si>
    <t>Secretaria de Estado de Desenvolvimento para Segurança Social – SEDSS*/Secretaria Estado de Educação</t>
  </si>
  <si>
    <t>Secretaria de Estado de Desenvolvimento para Segurança Social – SEDSS*/Instituto Sócio Educativo - ISE/Secretaria Estado de Educação - SEE</t>
  </si>
  <si>
    <t>722/722.213_/717</t>
  </si>
  <si>
    <t>Secretaria de Estado de Desenvolvimento para Segurança Social – SEDSS*/Instituto Sócio-Educativo do Estado do Acre – ISE/Secretaria Estado de Educação - SEE</t>
  </si>
  <si>
    <t>722/755.213_/717</t>
  </si>
  <si>
    <t>Secretaria de Estado Desenvolvimento Social - SEDS/Instituto Sócio Educativo – ISE/Secretaria Estado de Educação - SEE</t>
  </si>
  <si>
    <t>LEI Nº 2.831, DE 27 DE DEZEMBRO DE 2013</t>
  </si>
  <si>
    <t>Secretaria de Estado Desenvolvimento Social - SEDS/Instituto Sócio Educativo – ISE/Secretaria Estado de Educação e Esporte - SEE</t>
  </si>
  <si>
    <t>760/608_/606_/213_/717</t>
  </si>
  <si>
    <t>SEC. DE ESTADO DE ASSIST. SOCIAL, DA MULHER E DOS DIREITOS HUMANOS - SEASDHM/Fundo de Assistência Social - FEAS/Fundo do Direito da Criança e do Adolescente - FDCA/Instituto Sócio Educativo do Acre - ISE/Secretaria Estado de Educação, Cultura e Esporte - SEE</t>
  </si>
  <si>
    <t>SEC. DE ESTADO DE ASSIST. SOCIAL, DA MULHER E DOS DIREITOS HUMANOS - SEASDHM/Fundo de Assistência Social - FEAS/Fundo do Direito da Criança e do Adolescente - FDCA/Instituto Sócio Educativo do Acre - ISE/Secretaria Estado de Educação, Cultura e Esportes - SEE</t>
  </si>
  <si>
    <t>SEC. DE ESTADO DE ASSIST. SOCIAL, DA MULHER E DOS DIREITOS HUMANOS - SEAMD/Fundo de Assistência Social - FEAS/Fundo do Direito da Criança e do Adolescente - FDCA/Instituto Sócio Educativo do Acre - ISE//Secretaria Estado de Educação, Cultura e Esportes - SEE</t>
  </si>
  <si>
    <t>SECRETARIA DE ESTADO DE ASSISTÊNCIA SOCIAL E DIREITOS HUMANOS - SEASDH/Fundo de Assistência Social - FEAS/Fundo do Direito da Criança e do Adolescente - FDCA/Instituto Sócio Educativo do Acre - ISE/Secretaria Estado de Educação, Cultura e Esportes - SEE</t>
  </si>
  <si>
    <t>SEC. DE ESTADO DE ASSIST. SOCIAL, DA MULHER E DOS DIREITOS HUMANOS - SEAMD/Fundo de Assistência Social - FEAS/Fundo do Direito da Criança e do Adolescente - FDCA/Instituto Sócio Educativo do Acre - ISE/Secretaria Estado de Educação, Cultura e Esportes - SEE</t>
  </si>
  <si>
    <t>DECRETO Nº 11.934, DE 03 DE AGOSTO DE 2026</t>
  </si>
  <si>
    <t>Dispõe sobre o Centro de Atendimento Integrado à Criança e Adolescente - CAICA.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</si>
</sst>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8000000000000007"/>
      <color rgb="FF222222"/>
      <name val="Arial"/>
      <family val="2"/>
    </font>
    <font>
      <sz val="8.8000000000000007"/>
      <color rgb="FF22222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.8000000000000007"/>
      <color rgb="FF222222"/>
      <name val="Work Sans"/>
    </font>
    <font>
      <sz val="10"/>
      <color rgb="FF222222"/>
      <name val="Work Sans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4" fillId="2" borderId="2" xfId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/>
    <xf numFmtId="14" fontId="0" fillId="0" borderId="0" xfId="0" applyNumberFormat="1"/>
    <xf numFmtId="0" fontId="4" fillId="2" borderId="3" xfId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4" fillId="2" borderId="3" xfId="1" applyFill="1" applyBorder="1" applyAlignment="1">
      <alignment vertical="center" wrapText="1"/>
    </xf>
    <xf numFmtId="0" fontId="4" fillId="0" borderId="0" xfId="1"/>
    <xf numFmtId="0" fontId="3" fillId="2" borderId="3" xfId="0" applyFont="1" applyFill="1" applyBorder="1" applyAlignment="1">
      <alignment vertical="top"/>
    </xf>
    <xf numFmtId="0" fontId="4" fillId="2" borderId="3" xfId="1" applyFill="1" applyBorder="1" applyAlignment="1">
      <alignment vertical="top"/>
    </xf>
    <xf numFmtId="0" fontId="4" fillId="3" borderId="3" xfId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top"/>
    </xf>
    <xf numFmtId="0" fontId="4" fillId="3" borderId="3" xfId="1" applyFill="1" applyBorder="1" applyAlignment="1">
      <alignment vertical="top"/>
    </xf>
    <xf numFmtId="0" fontId="3" fillId="3" borderId="3" xfId="0" applyFont="1" applyFill="1" applyBorder="1" applyAlignment="1">
      <alignment vertical="top"/>
    </xf>
    <xf numFmtId="0" fontId="7" fillId="0" borderId="0" xfId="0" applyFont="1"/>
    <xf numFmtId="0" fontId="7" fillId="0" borderId="3" xfId="0" applyFont="1" applyBorder="1"/>
    <xf numFmtId="0" fontId="7" fillId="3" borderId="0" xfId="0" applyFont="1" applyFill="1"/>
    <xf numFmtId="0" fontId="0" fillId="0" borderId="3" xfId="0" applyBorder="1" applyAlignment="1">
      <alignment horizontal="center" vertical="center"/>
    </xf>
    <xf numFmtId="0" fontId="4" fillId="2" borderId="3" xfId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4" fillId="0" borderId="3" xfId="1" applyBorder="1" applyAlignment="1">
      <alignment horizontal="center" wrapText="1"/>
    </xf>
    <xf numFmtId="0" fontId="0" fillId="0" borderId="0" xfId="0" applyAlignment="1">
      <alignment wrapText="1"/>
    </xf>
    <xf numFmtId="0" fontId="4" fillId="4" borderId="3" xfId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4" fillId="0" borderId="0" xfId="1" applyAlignment="1">
      <alignment horizontal="left"/>
    </xf>
    <xf numFmtId="0" fontId="0" fillId="0" borderId="0" xfId="0" applyAlignment="1">
      <alignment horizontal="center"/>
    </xf>
    <xf numFmtId="0" fontId="4" fillId="5" borderId="3" xfId="1" applyFill="1" applyBorder="1" applyAlignment="1">
      <alignment vertical="top" wrapText="1"/>
    </xf>
    <xf numFmtId="0" fontId="0" fillId="5" borderId="3" xfId="0" applyFill="1" applyBorder="1" applyAlignment="1">
      <alignment horizontal="center" vertical="center"/>
    </xf>
    <xf numFmtId="16" fontId="0" fillId="5" borderId="3" xfId="0" applyNumberFormat="1" applyFill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6" borderId="3" xfId="1" applyFill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0" fillId="6" borderId="3" xfId="0" applyFill="1" applyBorder="1"/>
    <xf numFmtId="0" fontId="3" fillId="6" borderId="3" xfId="0" applyFont="1" applyFill="1" applyBorder="1" applyAlignment="1">
      <alignment horizontal="center" vertical="top" wrapText="1"/>
    </xf>
    <xf numFmtId="16" fontId="0" fillId="6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 wrapText="1"/>
    </xf>
    <xf numFmtId="0" fontId="4" fillId="6" borderId="3" xfId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6" borderId="3" xfId="0" applyFill="1" applyBorder="1" applyAlignment="1">
      <alignment wrapText="1"/>
    </xf>
    <xf numFmtId="0" fontId="3" fillId="6" borderId="3" xfId="0" applyFont="1" applyFill="1" applyBorder="1" applyAlignment="1">
      <alignment horizontal="left" vertical="center" wrapText="1"/>
    </xf>
    <xf numFmtId="0" fontId="4" fillId="6" borderId="3" xfId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4" fillId="7" borderId="3" xfId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0" fillId="7" borderId="3" xfId="0" applyFill="1" applyBorder="1"/>
    <xf numFmtId="0" fontId="3" fillId="7" borderId="3" xfId="0" applyFont="1" applyFill="1" applyBorder="1" applyAlignment="1">
      <alignment vertical="center" wrapText="1"/>
    </xf>
    <xf numFmtId="43" fontId="0" fillId="7" borderId="3" xfId="2" applyNumberFormat="1" applyFont="1" applyFill="1" applyBorder="1" applyAlignment="1">
      <alignment horizontal="right" vertical="center"/>
    </xf>
    <xf numFmtId="8" fontId="0" fillId="7" borderId="3" xfId="0" applyNumberFormat="1" applyFill="1" applyBorder="1" applyAlignment="1">
      <alignment horizontal="right" vertical="center"/>
    </xf>
    <xf numFmtId="0" fontId="0" fillId="7" borderId="3" xfId="0" applyFill="1" applyBorder="1" applyAlignment="1">
      <alignment horizontal="center" vertical="center" wrapText="1"/>
    </xf>
    <xf numFmtId="44" fontId="0" fillId="7" borderId="3" xfId="2" applyFont="1" applyFill="1" applyBorder="1" applyAlignment="1">
      <alignment horizontal="center" vertic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gis.ac.gov.br/detalhar/1686" TargetMode="External"/><Relationship Id="rId13" Type="http://schemas.openxmlformats.org/officeDocument/2006/relationships/hyperlink" Target="https://legis.ac.gov.br/detalhar/3495" TargetMode="External"/><Relationship Id="rId18" Type="http://schemas.openxmlformats.org/officeDocument/2006/relationships/hyperlink" Target="https://legis.ac.gov.br/detalhar/2153" TargetMode="External"/><Relationship Id="rId26" Type="http://schemas.openxmlformats.org/officeDocument/2006/relationships/hyperlink" Target="https://legis.ac.gov.br/detalhar/5950" TargetMode="External"/><Relationship Id="rId39" Type="http://schemas.openxmlformats.org/officeDocument/2006/relationships/hyperlink" Target="https://legis.ac.gov.br/detalhar/727" TargetMode="External"/><Relationship Id="rId3" Type="http://schemas.openxmlformats.org/officeDocument/2006/relationships/hyperlink" Target="https://legis.ac.gov.br/detalhar/1788" TargetMode="External"/><Relationship Id="rId21" Type="http://schemas.openxmlformats.org/officeDocument/2006/relationships/hyperlink" Target="https://legis.ac.gov.br/detalhar/4706" TargetMode="External"/><Relationship Id="rId34" Type="http://schemas.openxmlformats.org/officeDocument/2006/relationships/hyperlink" Target="https://legis.ac.gov.br/detalhar/6713" TargetMode="External"/><Relationship Id="rId42" Type="http://schemas.openxmlformats.org/officeDocument/2006/relationships/hyperlink" Target="https://legis.ac.gov.br/detalhar/1300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legis.ac.gov.br/detalhar/1684" TargetMode="External"/><Relationship Id="rId12" Type="http://schemas.openxmlformats.org/officeDocument/2006/relationships/hyperlink" Target="https://legis.ac.gov.br/detalhar/3493" TargetMode="External"/><Relationship Id="rId17" Type="http://schemas.openxmlformats.org/officeDocument/2006/relationships/hyperlink" Target="https://legis.ac.gov.br/detalhar/2650" TargetMode="External"/><Relationship Id="rId25" Type="http://schemas.openxmlformats.org/officeDocument/2006/relationships/hyperlink" Target="https://legis.ac.gov.br/detalhar/5703" TargetMode="External"/><Relationship Id="rId33" Type="http://schemas.openxmlformats.org/officeDocument/2006/relationships/hyperlink" Target="https://legis.ac.gov.br/detalhar/6567" TargetMode="External"/><Relationship Id="rId38" Type="http://schemas.openxmlformats.org/officeDocument/2006/relationships/hyperlink" Target="https://legis.ac.gov.br/detalhar/6427" TargetMode="External"/><Relationship Id="rId46" Type="http://schemas.openxmlformats.org/officeDocument/2006/relationships/hyperlink" Target="https://legis.ac.gov.br/detalhar/2028" TargetMode="External"/><Relationship Id="rId2" Type="http://schemas.openxmlformats.org/officeDocument/2006/relationships/hyperlink" Target="https://legis.ac.gov.br/detalhar/986" TargetMode="External"/><Relationship Id="rId16" Type="http://schemas.openxmlformats.org/officeDocument/2006/relationships/hyperlink" Target="https://legis.ac.gov.br/detalhar/2246" TargetMode="External"/><Relationship Id="rId20" Type="http://schemas.openxmlformats.org/officeDocument/2006/relationships/hyperlink" Target="https://legis.ac.gov.br/detalhar/190" TargetMode="External"/><Relationship Id="rId29" Type="http://schemas.openxmlformats.org/officeDocument/2006/relationships/hyperlink" Target="https://legis.ac.gov.br/detalhar/6409" TargetMode="External"/><Relationship Id="rId41" Type="http://schemas.openxmlformats.org/officeDocument/2006/relationships/hyperlink" Target="https://legis.ac.gov.br/detalhar/1299" TargetMode="External"/><Relationship Id="rId1" Type="http://schemas.openxmlformats.org/officeDocument/2006/relationships/hyperlink" Target="https://legis.ac.gov.br/detalhar/2616" TargetMode="External"/><Relationship Id="rId6" Type="http://schemas.openxmlformats.org/officeDocument/2006/relationships/hyperlink" Target="https://legis.ac.gov.br/detalhar/1665" TargetMode="External"/><Relationship Id="rId11" Type="http://schemas.openxmlformats.org/officeDocument/2006/relationships/hyperlink" Target="https://legis.ac.gov.br/detalhar/2036" TargetMode="External"/><Relationship Id="rId24" Type="http://schemas.openxmlformats.org/officeDocument/2006/relationships/hyperlink" Target="https://legis.ac.gov.br/detalhar/5696" TargetMode="External"/><Relationship Id="rId32" Type="http://schemas.openxmlformats.org/officeDocument/2006/relationships/hyperlink" Target="https://legis.ac.gov.br/detalhar/6514" TargetMode="External"/><Relationship Id="rId37" Type="http://schemas.openxmlformats.org/officeDocument/2006/relationships/hyperlink" Target="https://legis.ac.gov.br/detalhar/4656" TargetMode="External"/><Relationship Id="rId40" Type="http://schemas.openxmlformats.org/officeDocument/2006/relationships/hyperlink" Target="https://legis.ac.gov.br/detalhar/1517" TargetMode="External"/><Relationship Id="rId45" Type="http://schemas.openxmlformats.org/officeDocument/2006/relationships/hyperlink" Target="https://legis.ac.gov.br/detalhar/4766" TargetMode="External"/><Relationship Id="rId5" Type="http://schemas.openxmlformats.org/officeDocument/2006/relationships/hyperlink" Target="https://legis.ac.gov.br/detalhar/1058" TargetMode="External"/><Relationship Id="rId15" Type="http://schemas.openxmlformats.org/officeDocument/2006/relationships/hyperlink" Target="https://legis.ac.gov.br/detalhar/1298" TargetMode="External"/><Relationship Id="rId23" Type="http://schemas.openxmlformats.org/officeDocument/2006/relationships/hyperlink" Target="https://legis.ac.gov.br/detalhar/5694" TargetMode="External"/><Relationship Id="rId28" Type="http://schemas.openxmlformats.org/officeDocument/2006/relationships/hyperlink" Target="https://legis.ac.gov.br/detalhar/6174" TargetMode="External"/><Relationship Id="rId36" Type="http://schemas.openxmlformats.org/officeDocument/2006/relationships/hyperlink" Target="https://legis.ac.gov.br/detalhar/2157" TargetMode="External"/><Relationship Id="rId10" Type="http://schemas.openxmlformats.org/officeDocument/2006/relationships/hyperlink" Target="https://legis.ac.gov.br/detalhar/2021" TargetMode="External"/><Relationship Id="rId19" Type="http://schemas.openxmlformats.org/officeDocument/2006/relationships/hyperlink" Target="https://legis.ac.gov.br/detalhar/2155" TargetMode="External"/><Relationship Id="rId31" Type="http://schemas.openxmlformats.org/officeDocument/2006/relationships/hyperlink" Target="https://legis.ac.gov.br/detalhar/6509" TargetMode="External"/><Relationship Id="rId44" Type="http://schemas.openxmlformats.org/officeDocument/2006/relationships/hyperlink" Target="https://legis.ac.gov.br/detalhar/2084" TargetMode="External"/><Relationship Id="rId4" Type="http://schemas.openxmlformats.org/officeDocument/2006/relationships/hyperlink" Target="https://legis.ac.gov.br/detalhar/3799" TargetMode="External"/><Relationship Id="rId9" Type="http://schemas.openxmlformats.org/officeDocument/2006/relationships/hyperlink" Target="https://legis.ac.gov.br/detalhar/1769" TargetMode="External"/><Relationship Id="rId14" Type="http://schemas.openxmlformats.org/officeDocument/2006/relationships/hyperlink" Target="https://legis.ac.gov.br/detalhar/3008" TargetMode="External"/><Relationship Id="rId22" Type="http://schemas.openxmlformats.org/officeDocument/2006/relationships/hyperlink" Target="https://legis.ac.gov.br/detalhar/4941" TargetMode="External"/><Relationship Id="rId27" Type="http://schemas.openxmlformats.org/officeDocument/2006/relationships/hyperlink" Target="https://legis.ac.gov.br/detalhar/6020" TargetMode="External"/><Relationship Id="rId30" Type="http://schemas.openxmlformats.org/officeDocument/2006/relationships/hyperlink" Target="https://legis.ac.gov.br/detalhar/6412" TargetMode="External"/><Relationship Id="rId35" Type="http://schemas.openxmlformats.org/officeDocument/2006/relationships/hyperlink" Target="https://legis.ac.gov.br/detalhar/3203" TargetMode="External"/><Relationship Id="rId43" Type="http://schemas.openxmlformats.org/officeDocument/2006/relationships/hyperlink" Target="https://legis.ac.gov.br/detalhar/63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egis.ac.gov.br/detalhar/5668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legis.ac.gov.br/detalhar/5196" TargetMode="External"/><Relationship Id="rId1" Type="http://schemas.openxmlformats.org/officeDocument/2006/relationships/hyperlink" Target="https://legis.ac.gov.br/detalhar/4376" TargetMode="External"/><Relationship Id="rId6" Type="http://schemas.openxmlformats.org/officeDocument/2006/relationships/hyperlink" Target="https://legis.ac.gov.br/detalhar/6878" TargetMode="External"/><Relationship Id="rId5" Type="http://schemas.openxmlformats.org/officeDocument/2006/relationships/hyperlink" Target="https://legis.ac.gov.br/detalhar/4338" TargetMode="External"/><Relationship Id="rId4" Type="http://schemas.openxmlformats.org/officeDocument/2006/relationships/hyperlink" Target="https://legis.ac.gov.br/detalhar/577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gis.ac.gov.br/detalhar/334" TargetMode="External"/><Relationship Id="rId13" Type="http://schemas.openxmlformats.org/officeDocument/2006/relationships/hyperlink" Target="https://legis.ac.gov.br/detalhar/2616" TargetMode="External"/><Relationship Id="rId3" Type="http://schemas.openxmlformats.org/officeDocument/2006/relationships/hyperlink" Target="http://www.legis.ac.gov.br/detalhar/4001" TargetMode="External"/><Relationship Id="rId7" Type="http://schemas.openxmlformats.org/officeDocument/2006/relationships/hyperlink" Target="http://www.legis.ac.gov.br/detalhar/624" TargetMode="External"/><Relationship Id="rId12" Type="http://schemas.openxmlformats.org/officeDocument/2006/relationships/hyperlink" Target="https://legis.ac.gov.br/detalhar/1305" TargetMode="External"/><Relationship Id="rId2" Type="http://schemas.openxmlformats.org/officeDocument/2006/relationships/hyperlink" Target="http://www.legis.ac.gov.br/detalhar/58" TargetMode="External"/><Relationship Id="rId1" Type="http://schemas.openxmlformats.org/officeDocument/2006/relationships/hyperlink" Target="http://www.legis.ac.gov.br/detalhar/5365" TargetMode="External"/><Relationship Id="rId6" Type="http://schemas.openxmlformats.org/officeDocument/2006/relationships/hyperlink" Target="http://www.legis.ac.gov.br/detalhar/3860" TargetMode="External"/><Relationship Id="rId11" Type="http://schemas.openxmlformats.org/officeDocument/2006/relationships/hyperlink" Target="https://legis.ac.gov.br/detalhar/5734" TargetMode="External"/><Relationship Id="rId5" Type="http://schemas.openxmlformats.org/officeDocument/2006/relationships/hyperlink" Target="http://www.legis.ac.gov.br/detalhar/3880" TargetMode="External"/><Relationship Id="rId10" Type="http://schemas.openxmlformats.org/officeDocument/2006/relationships/hyperlink" Target="https://legis.ac.gov.br/detalhar/5521" TargetMode="External"/><Relationship Id="rId4" Type="http://schemas.openxmlformats.org/officeDocument/2006/relationships/hyperlink" Target="http://www.legis.ac.gov.br/detalhar/3935" TargetMode="External"/><Relationship Id="rId9" Type="http://schemas.openxmlformats.org/officeDocument/2006/relationships/hyperlink" Target="https://legis.ac.gov.br/detalhar/72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egis.ac.gov.br/detalhar/2730" TargetMode="External"/><Relationship Id="rId13" Type="http://schemas.openxmlformats.org/officeDocument/2006/relationships/hyperlink" Target="https://seplan.ac.gov.br/planejamento-governamental/plano-plurianual-ppa/" TargetMode="External"/><Relationship Id="rId3" Type="http://schemas.openxmlformats.org/officeDocument/2006/relationships/hyperlink" Target="http://www.legis.ac.gov.br/detalhar/2722" TargetMode="External"/><Relationship Id="rId7" Type="http://schemas.openxmlformats.org/officeDocument/2006/relationships/hyperlink" Target="http://www.legis.ac.gov.br/detalhar/3221" TargetMode="External"/><Relationship Id="rId12" Type="http://schemas.openxmlformats.org/officeDocument/2006/relationships/hyperlink" Target="https://seplan.ac.gov.br/planejamento-governamental/plano-plurianual-ppa/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http://www.legis.ac.gov.br/detalhar/2044" TargetMode="External"/><Relationship Id="rId16" Type="http://schemas.openxmlformats.org/officeDocument/2006/relationships/hyperlink" Target="PPA\3.1_PPA%202004_2007_ANEXOS\PPA%202004_2007\CD%20PPA\MATRIZ_CD_PUBLICO\Anexo_I\PPA%20Anexo%20I.pdf" TargetMode="External"/><Relationship Id="rId1" Type="http://schemas.openxmlformats.org/officeDocument/2006/relationships/hyperlink" Target="http://www.legis.ac.gov.br/detalhar/2567" TargetMode="External"/><Relationship Id="rId6" Type="http://schemas.openxmlformats.org/officeDocument/2006/relationships/hyperlink" Target="http://www.legis.ac.gov.br/detalhar/922" TargetMode="External"/><Relationship Id="rId11" Type="http://schemas.openxmlformats.org/officeDocument/2006/relationships/hyperlink" Target="https://seplan.ac.gov.br/planejamento-governamental/plano-plurianual-ppa/" TargetMode="External"/><Relationship Id="rId5" Type="http://schemas.openxmlformats.org/officeDocument/2006/relationships/hyperlink" Target="http://www.legis.ac.gov.br/detalhar/1070" TargetMode="External"/><Relationship Id="rId15" Type="http://schemas.openxmlformats.org/officeDocument/2006/relationships/hyperlink" Target="https://legis.ac.gov.br/detalhar/5972" TargetMode="External"/><Relationship Id="rId10" Type="http://schemas.openxmlformats.org/officeDocument/2006/relationships/hyperlink" Target="https://legis.ac.gov.br/detalhar/5972" TargetMode="External"/><Relationship Id="rId4" Type="http://schemas.openxmlformats.org/officeDocument/2006/relationships/hyperlink" Target="http://www.legis.ac.gov.br/detalhar/3484" TargetMode="External"/><Relationship Id="rId9" Type="http://schemas.openxmlformats.org/officeDocument/2006/relationships/hyperlink" Target="http://www.legis.ac.gov.br/detalhar/2589" TargetMode="External"/><Relationship Id="rId14" Type="http://schemas.openxmlformats.org/officeDocument/2006/relationships/hyperlink" Target="https://seplan.ac.gov.br/planejamento-governamental/plano-plurianual-ppa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egis.ac.gov.br/detalhar/2312" TargetMode="External"/><Relationship Id="rId13" Type="http://schemas.openxmlformats.org/officeDocument/2006/relationships/hyperlink" Target="http://www.legis.ac.gov.br/detalhar/1935" TargetMode="External"/><Relationship Id="rId18" Type="http://schemas.openxmlformats.org/officeDocument/2006/relationships/hyperlink" Target="http://www.legis.ac.gov.br/detalhar/26" TargetMode="External"/><Relationship Id="rId26" Type="http://schemas.openxmlformats.org/officeDocument/2006/relationships/hyperlink" Target="http://www.legis.ac.gov.br/detalhar/725" TargetMode="External"/><Relationship Id="rId3" Type="http://schemas.openxmlformats.org/officeDocument/2006/relationships/hyperlink" Target="http://www.legis.ac.gov.br/detalhar/4707" TargetMode="External"/><Relationship Id="rId21" Type="http://schemas.openxmlformats.org/officeDocument/2006/relationships/hyperlink" Target="http://www.legis.ac.gov.br/detalhar/3830" TargetMode="External"/><Relationship Id="rId34" Type="http://schemas.openxmlformats.org/officeDocument/2006/relationships/hyperlink" Target="http://www.legis.ac.gov.br/detalhar/1661" TargetMode="External"/><Relationship Id="rId7" Type="http://schemas.openxmlformats.org/officeDocument/2006/relationships/hyperlink" Target="http://www.legis.ac.gov.br/detalhar/2705" TargetMode="External"/><Relationship Id="rId12" Type="http://schemas.openxmlformats.org/officeDocument/2006/relationships/hyperlink" Target="http://www.legis.ac.gov.br/detalhar/2957" TargetMode="External"/><Relationship Id="rId17" Type="http://schemas.openxmlformats.org/officeDocument/2006/relationships/hyperlink" Target="http://www.legis.ac.gov.br/detalhar/3427" TargetMode="External"/><Relationship Id="rId25" Type="http://schemas.openxmlformats.org/officeDocument/2006/relationships/hyperlink" Target="http://www.legis.ac.gov.br/detalhar/899" TargetMode="External"/><Relationship Id="rId33" Type="http://schemas.openxmlformats.org/officeDocument/2006/relationships/hyperlink" Target="http://www.legis.ac.gov.br/detalhar/2470" TargetMode="External"/><Relationship Id="rId2" Type="http://schemas.openxmlformats.org/officeDocument/2006/relationships/hyperlink" Target="http://www.legis.ac.gov.br/detalhar/5292" TargetMode="External"/><Relationship Id="rId16" Type="http://schemas.openxmlformats.org/officeDocument/2006/relationships/hyperlink" Target="http://www.legis.ac.gov.br/detalhar/3526" TargetMode="External"/><Relationship Id="rId20" Type="http://schemas.openxmlformats.org/officeDocument/2006/relationships/hyperlink" Target="http://www.legis.ac.gov.br/detalhar/1116" TargetMode="External"/><Relationship Id="rId29" Type="http://schemas.openxmlformats.org/officeDocument/2006/relationships/hyperlink" Target="http://www.legis.ac.gov.br/detalhar/3193" TargetMode="External"/><Relationship Id="rId1" Type="http://schemas.openxmlformats.org/officeDocument/2006/relationships/hyperlink" Target="http://www.legis.ac.gov.br/detalhar/5699" TargetMode="External"/><Relationship Id="rId6" Type="http://schemas.openxmlformats.org/officeDocument/2006/relationships/hyperlink" Target="http://www.legis.ac.gov.br/detalhar/2150" TargetMode="External"/><Relationship Id="rId11" Type="http://schemas.openxmlformats.org/officeDocument/2006/relationships/hyperlink" Target="http://www.legis.ac.gov.br/detalhar/3059" TargetMode="External"/><Relationship Id="rId24" Type="http://schemas.openxmlformats.org/officeDocument/2006/relationships/hyperlink" Target="http://www.legis.ac.gov.br/detalhar/1763" TargetMode="External"/><Relationship Id="rId32" Type="http://schemas.openxmlformats.org/officeDocument/2006/relationships/hyperlink" Target="http://www.legis.ac.gov.br/detalhar/2710" TargetMode="External"/><Relationship Id="rId37" Type="http://schemas.openxmlformats.org/officeDocument/2006/relationships/printerSettings" Target="../printerSettings/printerSettings4.bin"/><Relationship Id="rId5" Type="http://schemas.openxmlformats.org/officeDocument/2006/relationships/hyperlink" Target="http://www.legis.ac.gov.br/detalhar/2305" TargetMode="External"/><Relationship Id="rId15" Type="http://schemas.openxmlformats.org/officeDocument/2006/relationships/hyperlink" Target="http://www.legis.ac.gov.br/detalhar/294" TargetMode="External"/><Relationship Id="rId23" Type="http://schemas.openxmlformats.org/officeDocument/2006/relationships/hyperlink" Target="http://www.legis.ac.gov.br/detalhar/1816" TargetMode="External"/><Relationship Id="rId28" Type="http://schemas.openxmlformats.org/officeDocument/2006/relationships/hyperlink" Target="http://www.legis.ac.gov.br/detalhar/3260" TargetMode="External"/><Relationship Id="rId36" Type="http://schemas.openxmlformats.org/officeDocument/2006/relationships/hyperlink" Target="https://legis.ac.gov.br/detalhar/6528" TargetMode="External"/><Relationship Id="rId10" Type="http://schemas.openxmlformats.org/officeDocument/2006/relationships/hyperlink" Target="http://www.legis.ac.gov.br/detalhar/1027" TargetMode="External"/><Relationship Id="rId19" Type="http://schemas.openxmlformats.org/officeDocument/2006/relationships/hyperlink" Target="http://www.legis.ac.gov.br/detalhar/1663" TargetMode="External"/><Relationship Id="rId31" Type="http://schemas.openxmlformats.org/officeDocument/2006/relationships/hyperlink" Target="http://www.legis.ac.gov.br/detalhar/2831" TargetMode="External"/><Relationship Id="rId4" Type="http://schemas.openxmlformats.org/officeDocument/2006/relationships/hyperlink" Target="http://www.legis.ac.gov.br/detalhar/3373" TargetMode="External"/><Relationship Id="rId9" Type="http://schemas.openxmlformats.org/officeDocument/2006/relationships/hyperlink" Target="http://www.legis.ac.gov.br/detalhar/1304" TargetMode="External"/><Relationship Id="rId14" Type="http://schemas.openxmlformats.org/officeDocument/2006/relationships/hyperlink" Target="http://www.legis.ac.gov.br/detalhar/466" TargetMode="External"/><Relationship Id="rId22" Type="http://schemas.openxmlformats.org/officeDocument/2006/relationships/hyperlink" Target="http://www.legis.ac.gov.br/detalhar/3766" TargetMode="External"/><Relationship Id="rId27" Type="http://schemas.openxmlformats.org/officeDocument/2006/relationships/hyperlink" Target="http://www.legis.ac.gov.br/detalhar/3322" TargetMode="External"/><Relationship Id="rId30" Type="http://schemas.openxmlformats.org/officeDocument/2006/relationships/hyperlink" Target="http://www.legis.ac.gov.br/detalhar/3161" TargetMode="External"/><Relationship Id="rId35" Type="http://schemas.openxmlformats.org/officeDocument/2006/relationships/hyperlink" Target="https://legis.ac.gov.br/detalhar/6133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egis.ac.gov.br/detalhar/1028" TargetMode="External"/><Relationship Id="rId13" Type="http://schemas.openxmlformats.org/officeDocument/2006/relationships/hyperlink" Target="http://www.legis.ac.gov.br/detalhar/420" TargetMode="External"/><Relationship Id="rId18" Type="http://schemas.openxmlformats.org/officeDocument/2006/relationships/hyperlink" Target="http://www.legis.ac.gov.br/detalhar/1410" TargetMode="External"/><Relationship Id="rId26" Type="http://schemas.openxmlformats.org/officeDocument/2006/relationships/hyperlink" Target="http://www.legis.ac.gov.br/detalhar/3313" TargetMode="External"/><Relationship Id="rId3" Type="http://schemas.openxmlformats.org/officeDocument/2006/relationships/hyperlink" Target="http://www.legis.ac.gov.br/detalhar/4314" TargetMode="External"/><Relationship Id="rId21" Type="http://schemas.openxmlformats.org/officeDocument/2006/relationships/hyperlink" Target="http://www.legis.ac.gov.br/detalhar/3774" TargetMode="External"/><Relationship Id="rId34" Type="http://schemas.openxmlformats.org/officeDocument/2006/relationships/hyperlink" Target="https://legis.ac.gov.br/detalhar/5971" TargetMode="External"/><Relationship Id="rId7" Type="http://schemas.openxmlformats.org/officeDocument/2006/relationships/hyperlink" Target="http://www.legis.ac.gov.br/detalhar/2382" TargetMode="External"/><Relationship Id="rId12" Type="http://schemas.openxmlformats.org/officeDocument/2006/relationships/hyperlink" Target="http://www.legis.ac.gov.br/detalhar/1925" TargetMode="External"/><Relationship Id="rId17" Type="http://schemas.openxmlformats.org/officeDocument/2006/relationships/hyperlink" Target="http://www.legis.ac.gov.br/detalhar/1728" TargetMode="External"/><Relationship Id="rId25" Type="http://schemas.openxmlformats.org/officeDocument/2006/relationships/hyperlink" Target="http://www.legis.ac.gov.br/detalhar/708" TargetMode="External"/><Relationship Id="rId33" Type="http://schemas.openxmlformats.org/officeDocument/2006/relationships/hyperlink" Target="http://www.legis.ac.gov.br/detalhar/2035" TargetMode="External"/><Relationship Id="rId2" Type="http://schemas.openxmlformats.org/officeDocument/2006/relationships/hyperlink" Target="http://www.legis.ac.gov.br/detalhar/5042" TargetMode="External"/><Relationship Id="rId16" Type="http://schemas.openxmlformats.org/officeDocument/2006/relationships/hyperlink" Target="http://www.legis.ac.gov.br/detalhar/59" TargetMode="External"/><Relationship Id="rId20" Type="http://schemas.openxmlformats.org/officeDocument/2006/relationships/hyperlink" Target="http://www.legis.ac.gov.br/detalhar/3768" TargetMode="External"/><Relationship Id="rId29" Type="http://schemas.openxmlformats.org/officeDocument/2006/relationships/hyperlink" Target="http://www.legis.ac.gov.br/detalhar/4057" TargetMode="External"/><Relationship Id="rId1" Type="http://schemas.openxmlformats.org/officeDocument/2006/relationships/hyperlink" Target="http://www.legis.ac.gov.br/detalhar/5476" TargetMode="External"/><Relationship Id="rId6" Type="http://schemas.openxmlformats.org/officeDocument/2006/relationships/hyperlink" Target="http://www.legis.ac.gov.br/detalhar/2097" TargetMode="External"/><Relationship Id="rId11" Type="http://schemas.openxmlformats.org/officeDocument/2006/relationships/hyperlink" Target="http://www.legis.ac.gov.br/detalhar/2719" TargetMode="External"/><Relationship Id="rId24" Type="http://schemas.openxmlformats.org/officeDocument/2006/relationships/hyperlink" Target="http://www.legis.ac.gov.br/detalhar/870" TargetMode="External"/><Relationship Id="rId32" Type="http://schemas.openxmlformats.org/officeDocument/2006/relationships/hyperlink" Target="http://www.legis.ac.gov.br/detalhar/1695" TargetMode="External"/><Relationship Id="rId37" Type="http://schemas.openxmlformats.org/officeDocument/2006/relationships/printerSettings" Target="../printerSettings/printerSettings5.bin"/><Relationship Id="rId5" Type="http://schemas.openxmlformats.org/officeDocument/2006/relationships/hyperlink" Target="http://www.legis.ac.gov.br/detalhar/2227" TargetMode="External"/><Relationship Id="rId15" Type="http://schemas.openxmlformats.org/officeDocument/2006/relationships/hyperlink" Target="http://www.legis.ac.gov.br/detalhar/3483" TargetMode="External"/><Relationship Id="rId23" Type="http://schemas.openxmlformats.org/officeDocument/2006/relationships/hyperlink" Target="http://www.legis.ac.gov.br/detalhar/921" TargetMode="External"/><Relationship Id="rId28" Type="http://schemas.openxmlformats.org/officeDocument/2006/relationships/hyperlink" Target="http://www.legis.ac.gov.br/detalhar/3187" TargetMode="External"/><Relationship Id="rId36" Type="http://schemas.openxmlformats.org/officeDocument/2006/relationships/hyperlink" Target="https://legis.ac.gov.br/detalhar/6698" TargetMode="External"/><Relationship Id="rId10" Type="http://schemas.openxmlformats.org/officeDocument/2006/relationships/hyperlink" Target="http://www.legis.ac.gov.br/detalhar/3003" TargetMode="External"/><Relationship Id="rId19" Type="http://schemas.openxmlformats.org/officeDocument/2006/relationships/hyperlink" Target="http://www.legis.ac.gov.br/detalhar/1071" TargetMode="External"/><Relationship Id="rId31" Type="http://schemas.openxmlformats.org/officeDocument/2006/relationships/hyperlink" Target="http://www.legis.ac.gov.br/detalhar/2659" TargetMode="External"/><Relationship Id="rId4" Type="http://schemas.openxmlformats.org/officeDocument/2006/relationships/hyperlink" Target="http://www.legis.ac.gov.br/detalhar/2565" TargetMode="External"/><Relationship Id="rId9" Type="http://schemas.openxmlformats.org/officeDocument/2006/relationships/hyperlink" Target="http://www.legis.ac.gov.br/detalhar/3198" TargetMode="External"/><Relationship Id="rId14" Type="http://schemas.openxmlformats.org/officeDocument/2006/relationships/hyperlink" Target="http://www.legis.ac.gov.br/detalhar/239" TargetMode="External"/><Relationship Id="rId22" Type="http://schemas.openxmlformats.org/officeDocument/2006/relationships/hyperlink" Target="http://www.legis.ac.gov.br/detalhar/1764" TargetMode="External"/><Relationship Id="rId27" Type="http://schemas.openxmlformats.org/officeDocument/2006/relationships/hyperlink" Target="http://www.legis.ac.gov.br/detalhar/3247" TargetMode="External"/><Relationship Id="rId30" Type="http://schemas.openxmlformats.org/officeDocument/2006/relationships/hyperlink" Target="http://www.legis.ac.gov.br/detalhar/2795" TargetMode="External"/><Relationship Id="rId35" Type="http://schemas.openxmlformats.org/officeDocument/2006/relationships/hyperlink" Target="https://legis.ac.gov.br/detalhar/6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CF59-D448-4DC2-BFE3-B3791CD89912}">
  <dimension ref="A1:C70"/>
  <sheetViews>
    <sheetView topLeftCell="C1" workbookViewId="0">
      <selection activeCell="C1" sqref="C1"/>
    </sheetView>
  </sheetViews>
  <sheetFormatPr defaultRowHeight="15" x14ac:dyDescent="0.25"/>
  <cols>
    <col min="1" max="1" width="14.42578125" bestFit="1" customWidth="1"/>
    <col min="2" max="2" width="54.140625" bestFit="1" customWidth="1"/>
    <col min="3" max="3" width="236.140625" bestFit="1" customWidth="1"/>
  </cols>
  <sheetData>
    <row r="1" spans="1:3" x14ac:dyDescent="0.25">
      <c r="B1" s="10" t="s">
        <v>184</v>
      </c>
      <c r="C1" t="s">
        <v>292</v>
      </c>
    </row>
    <row r="2" spans="1:3" x14ac:dyDescent="0.25">
      <c r="B2" s="10"/>
      <c r="C2" s="10"/>
    </row>
    <row r="3" spans="1:3" x14ac:dyDescent="0.25">
      <c r="A3" s="10" t="s">
        <v>191</v>
      </c>
      <c r="B3" s="11">
        <v>46246</v>
      </c>
    </row>
    <row r="4" spans="1:3" x14ac:dyDescent="0.25">
      <c r="B4" s="2" t="s">
        <v>190</v>
      </c>
      <c r="C4" s="2" t="s">
        <v>1</v>
      </c>
    </row>
    <row r="5" spans="1:3" x14ac:dyDescent="0.25">
      <c r="A5" s="1"/>
      <c r="B5" s="2"/>
      <c r="C5" s="2"/>
    </row>
    <row r="6" spans="1:3" x14ac:dyDescent="0.25">
      <c r="A6" s="1"/>
      <c r="B6" s="2"/>
      <c r="C6" s="2"/>
    </row>
    <row r="7" spans="1:3" x14ac:dyDescent="0.25">
      <c r="A7" s="1"/>
      <c r="B7" s="2"/>
      <c r="C7" s="2"/>
    </row>
    <row r="8" spans="1:3" ht="15.75" x14ac:dyDescent="0.3">
      <c r="A8" s="1"/>
      <c r="B8" s="17" t="s">
        <v>258</v>
      </c>
      <c r="C8" s="22" t="s">
        <v>259</v>
      </c>
    </row>
    <row r="9" spans="1:3" ht="15.75" x14ac:dyDescent="0.3">
      <c r="A9" s="1">
        <v>45</v>
      </c>
      <c r="B9" s="17" t="s">
        <v>256</v>
      </c>
      <c r="C9" s="22" t="s">
        <v>257</v>
      </c>
    </row>
    <row r="10" spans="1:3" ht="15.75" x14ac:dyDescent="0.3">
      <c r="A10" s="1">
        <v>44</v>
      </c>
      <c r="B10" s="17" t="s">
        <v>254</v>
      </c>
      <c r="C10" s="22" t="s">
        <v>255</v>
      </c>
    </row>
    <row r="11" spans="1:3" ht="15.75" x14ac:dyDescent="0.3">
      <c r="A11" s="1">
        <v>43</v>
      </c>
      <c r="B11" s="17" t="s">
        <v>252</v>
      </c>
      <c r="C11" s="22" t="s">
        <v>253</v>
      </c>
    </row>
    <row r="12" spans="1:3" ht="15.75" x14ac:dyDescent="0.3">
      <c r="A12" s="1">
        <v>42</v>
      </c>
      <c r="B12" s="15" t="s">
        <v>267</v>
      </c>
      <c r="C12" s="22" t="s">
        <v>266</v>
      </c>
    </row>
    <row r="13" spans="1:3" ht="15.75" x14ac:dyDescent="0.3">
      <c r="A13" s="1">
        <v>41</v>
      </c>
      <c r="B13" s="17" t="s">
        <v>250</v>
      </c>
      <c r="C13" s="22" t="s">
        <v>251</v>
      </c>
    </row>
    <row r="14" spans="1:3" ht="15.75" x14ac:dyDescent="0.3">
      <c r="A14" s="1">
        <v>40</v>
      </c>
      <c r="B14" s="17" t="s">
        <v>248</v>
      </c>
      <c r="C14" s="22" t="s">
        <v>249</v>
      </c>
    </row>
    <row r="15" spans="1:3" ht="15.75" x14ac:dyDescent="0.3">
      <c r="A15" s="1">
        <v>39</v>
      </c>
      <c r="B15" s="17" t="s">
        <v>246</v>
      </c>
      <c r="C15" s="22" t="s">
        <v>247</v>
      </c>
    </row>
    <row r="16" spans="1:3" ht="15.75" x14ac:dyDescent="0.3">
      <c r="A16" s="1">
        <v>38</v>
      </c>
      <c r="B16" s="20" t="s">
        <v>245</v>
      </c>
      <c r="C16" s="24" t="s">
        <v>244</v>
      </c>
    </row>
    <row r="17" spans="1:3" ht="15.75" x14ac:dyDescent="0.3">
      <c r="A17" s="1">
        <v>37</v>
      </c>
      <c r="B17" s="17" t="s">
        <v>242</v>
      </c>
      <c r="C17" s="23" t="s">
        <v>243</v>
      </c>
    </row>
    <row r="18" spans="1:3" ht="15.75" x14ac:dyDescent="0.3">
      <c r="A18" s="1">
        <v>36</v>
      </c>
      <c r="B18" s="17" t="s">
        <v>241</v>
      </c>
      <c r="C18" s="22" t="s">
        <v>240</v>
      </c>
    </row>
    <row r="19" spans="1:3" x14ac:dyDescent="0.25">
      <c r="A19" s="1">
        <v>35</v>
      </c>
      <c r="B19" s="17" t="s">
        <v>238</v>
      </c>
      <c r="C19" s="16" t="s">
        <v>239</v>
      </c>
    </row>
    <row r="20" spans="1:3" x14ac:dyDescent="0.25">
      <c r="A20" s="1">
        <v>34</v>
      </c>
      <c r="B20" s="17" t="s">
        <v>236</v>
      </c>
      <c r="C20" s="16" t="s">
        <v>237</v>
      </c>
    </row>
    <row r="21" spans="1:3" x14ac:dyDescent="0.25">
      <c r="A21" s="1">
        <v>33</v>
      </c>
      <c r="B21" s="17" t="s">
        <v>234</v>
      </c>
      <c r="C21" s="16" t="s">
        <v>235</v>
      </c>
    </row>
    <row r="22" spans="1:3" ht="15.75" x14ac:dyDescent="0.3">
      <c r="A22" s="1">
        <v>32</v>
      </c>
      <c r="B22" s="15" t="s">
        <v>281</v>
      </c>
      <c r="C22" s="22" t="s">
        <v>280</v>
      </c>
    </row>
    <row r="23" spans="1:3" x14ac:dyDescent="0.25">
      <c r="A23" s="1">
        <v>31</v>
      </c>
      <c r="B23" s="32" t="s">
        <v>232</v>
      </c>
      <c r="C23" s="33" t="s">
        <v>233</v>
      </c>
    </row>
    <row r="24" spans="1:3" ht="15.75" x14ac:dyDescent="0.3">
      <c r="A24" s="1">
        <v>30</v>
      </c>
      <c r="B24" s="15" t="s">
        <v>265</v>
      </c>
      <c r="C24" s="22" t="s">
        <v>264</v>
      </c>
    </row>
    <row r="25" spans="1:3" x14ac:dyDescent="0.25">
      <c r="A25" s="1">
        <v>29</v>
      </c>
      <c r="B25" s="20" t="s">
        <v>230</v>
      </c>
      <c r="C25" s="21" t="s">
        <v>231</v>
      </c>
    </row>
    <row r="26" spans="1:3" ht="15.75" x14ac:dyDescent="0.3">
      <c r="A26" s="1">
        <v>28</v>
      </c>
      <c r="B26" s="15" t="s">
        <v>263</v>
      </c>
      <c r="C26" s="22" t="s">
        <v>262</v>
      </c>
    </row>
    <row r="27" spans="1:3" x14ac:dyDescent="0.25">
      <c r="A27" s="1">
        <v>27</v>
      </c>
      <c r="B27" s="17" t="s">
        <v>228</v>
      </c>
      <c r="C27" s="16" t="s">
        <v>229</v>
      </c>
    </row>
    <row r="28" spans="1:3" x14ac:dyDescent="0.25">
      <c r="A28" s="1">
        <v>26</v>
      </c>
      <c r="B28" s="17" t="s">
        <v>226</v>
      </c>
      <c r="C28" s="16" t="s">
        <v>227</v>
      </c>
    </row>
    <row r="29" spans="1:3" ht="15.75" x14ac:dyDescent="0.3">
      <c r="A29" s="1">
        <v>25</v>
      </c>
      <c r="B29" s="15" t="s">
        <v>279</v>
      </c>
      <c r="C29" s="22" t="s">
        <v>278</v>
      </c>
    </row>
    <row r="30" spans="1:3" x14ac:dyDescent="0.25">
      <c r="A30" s="1">
        <v>24</v>
      </c>
      <c r="B30" s="17" t="s">
        <v>224</v>
      </c>
      <c r="C30" s="16" t="s">
        <v>225</v>
      </c>
    </row>
    <row r="31" spans="1:3" x14ac:dyDescent="0.25">
      <c r="A31" s="1">
        <v>23</v>
      </c>
      <c r="B31" s="20" t="s">
        <v>222</v>
      </c>
      <c r="C31" s="21" t="s">
        <v>223</v>
      </c>
    </row>
    <row r="32" spans="1:3" x14ac:dyDescent="0.25">
      <c r="A32" s="1">
        <v>22</v>
      </c>
      <c r="B32" s="15" t="s">
        <v>293</v>
      </c>
      <c r="C32" s="31" t="s">
        <v>294</v>
      </c>
    </row>
    <row r="33" spans="1:3" ht="15.75" x14ac:dyDescent="0.3">
      <c r="A33" s="1">
        <v>21</v>
      </c>
      <c r="B33" s="15" t="s">
        <v>275</v>
      </c>
      <c r="C33" s="22" t="s">
        <v>274</v>
      </c>
    </row>
    <row r="34" spans="1:3" ht="15.75" x14ac:dyDescent="0.3">
      <c r="A34" s="1">
        <v>20</v>
      </c>
      <c r="B34" s="15" t="s">
        <v>273</v>
      </c>
      <c r="C34" s="22" t="s">
        <v>272</v>
      </c>
    </row>
    <row r="35" spans="1:3" x14ac:dyDescent="0.25">
      <c r="A35" s="1">
        <v>19</v>
      </c>
      <c r="B35" s="17" t="s">
        <v>220</v>
      </c>
      <c r="C35" s="16" t="s">
        <v>221</v>
      </c>
    </row>
    <row r="36" spans="1:3" ht="15.75" x14ac:dyDescent="0.3">
      <c r="A36" s="1">
        <v>18</v>
      </c>
      <c r="B36" s="15" t="s">
        <v>261</v>
      </c>
      <c r="C36" s="22" t="s">
        <v>260</v>
      </c>
    </row>
    <row r="37" spans="1:3" x14ac:dyDescent="0.25">
      <c r="A37" s="1">
        <v>17</v>
      </c>
      <c r="B37" s="17" t="s">
        <v>218</v>
      </c>
      <c r="C37" s="16" t="s">
        <v>219</v>
      </c>
    </row>
    <row r="38" spans="1:3" x14ac:dyDescent="0.25">
      <c r="A38" s="1">
        <v>16</v>
      </c>
      <c r="B38" s="17" t="s">
        <v>216</v>
      </c>
      <c r="C38" s="16" t="s">
        <v>217</v>
      </c>
    </row>
    <row r="39" spans="1:3" x14ac:dyDescent="0.25">
      <c r="A39" s="1">
        <v>15</v>
      </c>
      <c r="B39" s="17" t="s">
        <v>214</v>
      </c>
      <c r="C39" s="16" t="s">
        <v>215</v>
      </c>
    </row>
    <row r="40" spans="1:3" x14ac:dyDescent="0.25">
      <c r="A40" s="1">
        <v>14</v>
      </c>
      <c r="B40" s="17" t="s">
        <v>212</v>
      </c>
      <c r="C40" s="16" t="s">
        <v>213</v>
      </c>
    </row>
    <row r="41" spans="1:3" x14ac:dyDescent="0.25">
      <c r="A41" s="1">
        <v>13</v>
      </c>
      <c r="B41" s="18" t="s">
        <v>211</v>
      </c>
      <c r="C41" s="19" t="s">
        <v>2</v>
      </c>
    </row>
    <row r="42" spans="1:3" x14ac:dyDescent="0.25">
      <c r="A42" s="1">
        <v>12</v>
      </c>
      <c r="B42" s="12" t="s">
        <v>207</v>
      </c>
      <c r="C42" s="13" t="s">
        <v>208</v>
      </c>
    </row>
    <row r="43" spans="1:3" x14ac:dyDescent="0.25">
      <c r="A43" s="1">
        <v>11</v>
      </c>
      <c r="B43" s="12" t="s">
        <v>205</v>
      </c>
      <c r="C43" s="13" t="s">
        <v>206</v>
      </c>
    </row>
    <row r="44" spans="1:3" x14ac:dyDescent="0.25">
      <c r="A44" s="1">
        <v>10</v>
      </c>
      <c r="B44" s="12" t="s">
        <v>203</v>
      </c>
      <c r="C44" s="13" t="s">
        <v>204</v>
      </c>
    </row>
    <row r="45" spans="1:3" ht="15.75" x14ac:dyDescent="0.3">
      <c r="A45" s="1">
        <v>9</v>
      </c>
      <c r="B45" s="15" t="s">
        <v>271</v>
      </c>
      <c r="C45" s="22" t="s">
        <v>270</v>
      </c>
    </row>
    <row r="46" spans="1:3" x14ac:dyDescent="0.25">
      <c r="A46" s="1">
        <v>8</v>
      </c>
      <c r="B46" s="12" t="s">
        <v>201</v>
      </c>
      <c r="C46" s="13" t="s">
        <v>202</v>
      </c>
    </row>
    <row r="47" spans="1:3" x14ac:dyDescent="0.25">
      <c r="A47" s="1">
        <v>7</v>
      </c>
      <c r="B47" s="12" t="s">
        <v>199</v>
      </c>
      <c r="C47" s="13" t="s">
        <v>200</v>
      </c>
    </row>
    <row r="48" spans="1:3" x14ac:dyDescent="0.25">
      <c r="A48" s="1">
        <v>6</v>
      </c>
      <c r="B48" s="12" t="s">
        <v>197</v>
      </c>
      <c r="C48" s="13" t="s">
        <v>198</v>
      </c>
    </row>
    <row r="49" spans="1:3" x14ac:dyDescent="0.25">
      <c r="A49" s="1">
        <v>5</v>
      </c>
      <c r="B49" s="15" t="s">
        <v>209</v>
      </c>
      <c r="C49" t="s">
        <v>210</v>
      </c>
    </row>
    <row r="50" spans="1:3" x14ac:dyDescent="0.25">
      <c r="A50" s="1">
        <v>4</v>
      </c>
      <c r="B50" s="12" t="s">
        <v>195</v>
      </c>
      <c r="C50" s="13" t="s">
        <v>196</v>
      </c>
    </row>
    <row r="51" spans="1:3" x14ac:dyDescent="0.25">
      <c r="A51" s="1">
        <v>3</v>
      </c>
      <c r="B51" s="14" t="s">
        <v>193</v>
      </c>
      <c r="C51" s="13" t="s">
        <v>194</v>
      </c>
    </row>
    <row r="52" spans="1:3" ht="15.75" x14ac:dyDescent="0.3">
      <c r="A52" s="1">
        <v>2</v>
      </c>
      <c r="B52" s="15" t="s">
        <v>269</v>
      </c>
      <c r="C52" s="22" t="s">
        <v>268</v>
      </c>
    </row>
    <row r="53" spans="1:3" ht="15.75" x14ac:dyDescent="0.3">
      <c r="A53" s="1">
        <v>1</v>
      </c>
      <c r="B53" s="15" t="s">
        <v>277</v>
      </c>
      <c r="C53" s="22" t="s">
        <v>276</v>
      </c>
    </row>
    <row r="70" ht="15.75" customHeight="1" x14ac:dyDescent="0.25"/>
  </sheetData>
  <hyperlinks>
    <hyperlink ref="B51" r:id="rId1" xr:uid="{3535FADA-7FD2-4C25-8563-982C251A8B1C}"/>
    <hyperlink ref="B50" r:id="rId2" xr:uid="{3F7C20C0-30FF-4AD6-B158-F461BE2F750E}"/>
    <hyperlink ref="B48" r:id="rId3" xr:uid="{60B8B0EB-DAC5-4124-948C-FBD0699519CE}"/>
    <hyperlink ref="B47" r:id="rId4" xr:uid="{11C80970-F344-4C86-B59B-379C63AE00D2}"/>
    <hyperlink ref="B46" r:id="rId5" xr:uid="{F7813EF4-C9BE-4159-AF4D-08D7394F7732}"/>
    <hyperlink ref="B44" r:id="rId6" xr:uid="{9CB82028-3FA8-449D-8E9F-A34C47B42C8D}"/>
    <hyperlink ref="B43" r:id="rId7" xr:uid="{3468E0BE-AC2C-416A-A84F-FEE3FE84E7FD}"/>
    <hyperlink ref="B42" r:id="rId8" xr:uid="{9CC36A0D-D005-4D68-8F75-98C03F7A7D18}"/>
    <hyperlink ref="B49" r:id="rId9" xr:uid="{ABCE9108-7DF3-4658-8E94-CB73DE536455}"/>
    <hyperlink ref="B41" r:id="rId10" xr:uid="{610211A1-F2DB-4167-B70B-D69A19DEFCC7}"/>
    <hyperlink ref="B40" r:id="rId11" xr:uid="{511B34BA-BF0F-4DE2-9925-73CF8A0C0C23}"/>
    <hyperlink ref="B39" r:id="rId12" xr:uid="{1C5ADF9A-E517-4749-BDB0-85216A00130A}"/>
    <hyperlink ref="B38" r:id="rId13" xr:uid="{0266AF8F-111C-4C4E-9652-18E772527843}"/>
    <hyperlink ref="B37" r:id="rId14" xr:uid="{9137E05E-521E-4B67-8EAF-EA3CBAE2870C}"/>
    <hyperlink ref="B35" r:id="rId15" xr:uid="{7BB2ABB7-4749-43FD-80C5-CD2F48D76C65}"/>
    <hyperlink ref="B31" r:id="rId16" xr:uid="{A0B40E1D-5346-4816-B602-BCFE60DA3EB8}"/>
    <hyperlink ref="B30" r:id="rId17" xr:uid="{21EEB069-3623-4BFB-9C85-41A438CE4D29}"/>
    <hyperlink ref="B28" r:id="rId18" xr:uid="{0A4045A1-5AF5-4946-8A89-79984E8DDF8A}"/>
    <hyperlink ref="B27" r:id="rId19" xr:uid="{EC074263-02BF-4147-A6FB-62BAD2DF5BDA}"/>
    <hyperlink ref="B25" r:id="rId20" xr:uid="{287ABC11-FACA-4788-B1BD-60F0CDA40F6E}"/>
    <hyperlink ref="B23" r:id="rId21" xr:uid="{57506ABD-2358-4402-86EE-65DE73A63687}"/>
    <hyperlink ref="B21" r:id="rId22" xr:uid="{040B3384-CC22-4FD5-9CE5-0DA68AF50C22}"/>
    <hyperlink ref="B20" r:id="rId23" xr:uid="{9A4E57D2-26E9-4A1E-8C6A-32B7BEE379D0}"/>
    <hyperlink ref="B19" r:id="rId24" xr:uid="{F522343F-546A-4A59-83A3-BC71F328DB28}"/>
    <hyperlink ref="B18" r:id="rId25" xr:uid="{CAD86D16-F400-4DA0-BE31-40E62B6FCDB0}"/>
    <hyperlink ref="B17" r:id="rId26" xr:uid="{8BC7D5ED-9CCE-4279-B2DD-4591F6DAC6C7}"/>
    <hyperlink ref="B16" r:id="rId27" xr:uid="{F218DC3E-8527-4C05-8E30-672D7D9BB4C0}"/>
    <hyperlink ref="B15" r:id="rId28" xr:uid="{7E3EDBFA-E2A3-44A5-A740-DF3D12C04146}"/>
    <hyperlink ref="B14" r:id="rId29" xr:uid="{956DD14B-48DD-4335-A6D5-A257A0FDF22B}"/>
    <hyperlink ref="B13" r:id="rId30" xr:uid="{05490C09-047E-4AEB-BAEA-C3F9E8046EB7}"/>
    <hyperlink ref="B11" r:id="rId31" xr:uid="{82A74BC7-D5A6-45B3-A306-03BA83DB8791}"/>
    <hyperlink ref="B10" r:id="rId32" xr:uid="{3F02E233-C50A-4E95-8611-225A73096BEA}"/>
    <hyperlink ref="B9" r:id="rId33" xr:uid="{43E5AC6A-03EA-43D7-9E7A-5F970017AA10}"/>
    <hyperlink ref="B8" r:id="rId34" xr:uid="{BA343F21-1FB1-4F2A-8A11-8F67657D72F2}"/>
    <hyperlink ref="B36" r:id="rId35" xr:uid="{AE2F802D-8D34-49F3-AC0C-DFA696A0032F}"/>
    <hyperlink ref="B26" r:id="rId36" xr:uid="{2F21BC60-33A9-45C0-B72F-52B6C7C5A418}"/>
    <hyperlink ref="B24" r:id="rId37" xr:uid="{E915B129-50A2-461E-89F4-D5895E5EE9ED}"/>
    <hyperlink ref="B12" r:id="rId38" xr:uid="{43F3C1BB-8C7E-420A-807A-5D8824513201}"/>
    <hyperlink ref="B52" r:id="rId39" xr:uid="{34B0AE2D-2C26-426D-BD6A-09CF2D21CDBD}"/>
    <hyperlink ref="B45" r:id="rId40" xr:uid="{60AB5AF8-701F-471E-80B0-9A8A58C80433}"/>
    <hyperlink ref="B34" r:id="rId41" xr:uid="{6101490E-7C5F-44A8-910D-44E7C72D231B}"/>
    <hyperlink ref="B33" r:id="rId42" xr:uid="{9FBAD5E2-5DFB-4E42-9CBB-1D51009971EC}"/>
    <hyperlink ref="B53" r:id="rId43" xr:uid="{07DD7C5D-965F-4264-B07B-F385496F85FF}"/>
    <hyperlink ref="B29" r:id="rId44" xr:uid="{69E2321C-7115-4DC4-918D-3A6996D0952E}"/>
    <hyperlink ref="B22" r:id="rId45" xr:uid="{F27BFFE0-EA87-4852-B5AB-B755AE6EE0B7}"/>
    <hyperlink ref="B32" r:id="rId46" xr:uid="{095C34A7-ECE5-4327-AD4D-BD3986A14767}"/>
  </hyperlinks>
  <pageMargins left="0.511811024" right="0.511811024" top="0.78740157499999996" bottom="0.78740157499999996" header="0.31496062000000002" footer="0.31496062000000002"/>
  <pageSetup paperSize="9" orientation="portrait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FD86-1A01-4717-A18A-020BCA1F0451}">
  <dimension ref="A2:C18"/>
  <sheetViews>
    <sheetView workbookViewId="0">
      <selection activeCell="C32" sqref="C32"/>
    </sheetView>
  </sheetViews>
  <sheetFormatPr defaultRowHeight="15" x14ac:dyDescent="0.25"/>
  <cols>
    <col min="1" max="1" width="14.42578125" bestFit="1" customWidth="1"/>
    <col min="2" max="2" width="58.5703125" customWidth="1"/>
    <col min="3" max="3" width="173" bestFit="1" customWidth="1"/>
  </cols>
  <sheetData>
    <row r="2" spans="1:3" x14ac:dyDescent="0.25">
      <c r="B2" s="10" t="s">
        <v>184</v>
      </c>
      <c r="C2" s="10" t="s">
        <v>292</v>
      </c>
    </row>
    <row r="3" spans="1:3" x14ac:dyDescent="0.25">
      <c r="B3" s="10"/>
      <c r="C3" s="10"/>
    </row>
    <row r="4" spans="1:3" x14ac:dyDescent="0.25">
      <c r="A4" s="10" t="s">
        <v>191</v>
      </c>
      <c r="B4" s="11">
        <v>46246</v>
      </c>
    </row>
    <row r="5" spans="1:3" ht="15.75" thickBot="1" x14ac:dyDescent="0.3"/>
    <row r="6" spans="1:3" ht="15.75" thickBot="1" x14ac:dyDescent="0.3">
      <c r="B6" s="3" t="s">
        <v>3</v>
      </c>
      <c r="C6" s="3" t="s">
        <v>1</v>
      </c>
    </row>
    <row r="7" spans="1:3" ht="16.5" thickTop="1" thickBot="1" x14ac:dyDescent="0.3">
      <c r="B7" s="9"/>
      <c r="C7" s="9"/>
    </row>
    <row r="8" spans="1:3" x14ac:dyDescent="0.25">
      <c r="B8" s="9"/>
      <c r="C8" s="9"/>
    </row>
    <row r="9" spans="1:3" x14ac:dyDescent="0.25">
      <c r="A9" s="25">
        <v>10</v>
      </c>
      <c r="B9" s="26"/>
      <c r="C9" s="27"/>
    </row>
    <row r="10" spans="1:3" x14ac:dyDescent="0.25">
      <c r="A10" s="25">
        <v>9</v>
      </c>
      <c r="B10" s="26"/>
      <c r="C10" s="28"/>
    </row>
    <row r="11" spans="1:3" x14ac:dyDescent="0.25">
      <c r="A11" s="25">
        <v>8</v>
      </c>
      <c r="B11" s="26"/>
      <c r="C11" s="28"/>
    </row>
    <row r="12" spans="1:3" x14ac:dyDescent="0.25">
      <c r="A12" s="25">
        <v>7</v>
      </c>
      <c r="B12" s="26"/>
      <c r="C12" s="28"/>
    </row>
    <row r="13" spans="1:3" x14ac:dyDescent="0.25">
      <c r="A13" s="25">
        <v>6</v>
      </c>
      <c r="B13" s="26" t="s">
        <v>369</v>
      </c>
      <c r="C13" s="28" t="s">
        <v>370</v>
      </c>
    </row>
    <row r="14" spans="1:3" x14ac:dyDescent="0.25">
      <c r="A14" s="25">
        <v>5</v>
      </c>
      <c r="B14" s="26" t="s">
        <v>288</v>
      </c>
      <c r="C14" s="28" t="s">
        <v>289</v>
      </c>
    </row>
    <row r="15" spans="1:3" x14ac:dyDescent="0.25">
      <c r="A15" s="25">
        <v>4</v>
      </c>
      <c r="B15" s="26" t="s">
        <v>286</v>
      </c>
      <c r="C15" s="28" t="s">
        <v>287</v>
      </c>
    </row>
    <row r="16" spans="1:3" x14ac:dyDescent="0.25">
      <c r="A16" s="25">
        <v>3</v>
      </c>
      <c r="B16" s="26" t="s">
        <v>284</v>
      </c>
      <c r="C16" s="28" t="s">
        <v>285</v>
      </c>
    </row>
    <row r="17" spans="1:3" x14ac:dyDescent="0.25">
      <c r="A17" s="25">
        <v>2</v>
      </c>
      <c r="B17" s="26" t="s">
        <v>282</v>
      </c>
      <c r="C17" s="28" t="s">
        <v>283</v>
      </c>
    </row>
    <row r="18" spans="1:3" x14ac:dyDescent="0.25">
      <c r="A18" s="25">
        <v>1</v>
      </c>
      <c r="B18" s="30" t="s">
        <v>291</v>
      </c>
      <c r="C18" s="29" t="s">
        <v>290</v>
      </c>
    </row>
  </sheetData>
  <hyperlinks>
    <hyperlink ref="B17" r:id="rId1" xr:uid="{8244B948-1ED1-4061-857A-46DA3E0FFA50}"/>
    <hyperlink ref="B16" r:id="rId2" xr:uid="{DD705D9C-0135-43FC-B5BB-08BC08F50F9F}"/>
    <hyperlink ref="B15" r:id="rId3" xr:uid="{55560E2A-6C94-4ED0-8577-7D231457AC28}"/>
    <hyperlink ref="B14" r:id="rId4" xr:uid="{C5882624-4BAE-4DA2-AA08-930B86DCE362}"/>
    <hyperlink ref="B18" r:id="rId5" xr:uid="{6BD0D372-7293-4425-A7E1-B6DE56608B4B}"/>
    <hyperlink ref="B13" r:id="rId6" xr:uid="{D44A8C6F-A1C1-4622-A50B-4A82E9658983}"/>
  </hyperlinks>
  <pageMargins left="0.511811024" right="0.511811024" top="0.78740157499999996" bottom="0.78740157499999996" header="0.31496062000000002" footer="0.31496062000000002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23DE-4E8C-4F44-98DF-713D7AEC12DE}">
  <dimension ref="A2:D17"/>
  <sheetViews>
    <sheetView zoomScale="85" zoomScaleNormal="85" workbookViewId="0">
      <selection activeCell="B2" sqref="B2"/>
    </sheetView>
  </sheetViews>
  <sheetFormatPr defaultRowHeight="15" x14ac:dyDescent="0.25"/>
  <cols>
    <col min="1" max="1" width="14.42578125" bestFit="1" customWidth="1"/>
    <col min="2" max="2" width="66" customWidth="1"/>
    <col min="3" max="3" width="58" customWidth="1"/>
    <col min="4" max="4" width="191.85546875" bestFit="1" customWidth="1"/>
  </cols>
  <sheetData>
    <row r="2" spans="1:4" x14ac:dyDescent="0.25">
      <c r="A2" s="10" t="s">
        <v>191</v>
      </c>
      <c r="B2" s="11">
        <v>46246</v>
      </c>
    </row>
    <row r="3" spans="1:4" x14ac:dyDescent="0.25">
      <c r="A3" s="10"/>
      <c r="B3" s="11"/>
    </row>
    <row r="4" spans="1:4" x14ac:dyDescent="0.25">
      <c r="B4" s="2" t="s">
        <v>0</v>
      </c>
      <c r="C4" s="2" t="s">
        <v>1</v>
      </c>
      <c r="D4" s="2" t="s">
        <v>9</v>
      </c>
    </row>
    <row r="5" spans="1:4" ht="75" x14ac:dyDescent="0.25">
      <c r="A5" s="1">
        <v>13</v>
      </c>
      <c r="B5" s="34" t="s">
        <v>298</v>
      </c>
      <c r="C5" s="31" t="s">
        <v>299</v>
      </c>
      <c r="D5" s="35" t="s">
        <v>313</v>
      </c>
    </row>
    <row r="6" spans="1:4" ht="60.75" thickBot="1" x14ac:dyDescent="0.3">
      <c r="A6" s="1">
        <v>12</v>
      </c>
      <c r="B6" s="34" t="s">
        <v>296</v>
      </c>
      <c r="C6" s="31" t="s">
        <v>297</v>
      </c>
      <c r="D6" t="s">
        <v>312</v>
      </c>
    </row>
    <row r="7" spans="1:4" ht="30.75" thickBot="1" x14ac:dyDescent="0.3">
      <c r="A7" s="1">
        <v>11</v>
      </c>
      <c r="B7" s="4" t="s">
        <v>4</v>
      </c>
      <c r="C7" s="5" t="s">
        <v>5</v>
      </c>
      <c r="D7" s="6" t="s">
        <v>311</v>
      </c>
    </row>
    <row r="8" spans="1:4" ht="24.75" thickBot="1" x14ac:dyDescent="0.3">
      <c r="A8" s="1">
        <v>10</v>
      </c>
      <c r="B8" s="15" t="s">
        <v>295</v>
      </c>
      <c r="C8" s="5" t="s">
        <v>6</v>
      </c>
      <c r="D8" s="1" t="s">
        <v>310</v>
      </c>
    </row>
    <row r="9" spans="1:4" ht="24.75" thickBot="1" x14ac:dyDescent="0.3">
      <c r="A9" s="1">
        <v>9</v>
      </c>
      <c r="B9" s="4" t="s">
        <v>309</v>
      </c>
      <c r="C9" s="5" t="s">
        <v>6</v>
      </c>
      <c r="D9" s="1" t="s">
        <v>310</v>
      </c>
    </row>
    <row r="10" spans="1:4" ht="30" x14ac:dyDescent="0.25">
      <c r="A10" s="1">
        <v>8</v>
      </c>
      <c r="B10" s="4" t="s">
        <v>7</v>
      </c>
      <c r="C10" s="5" t="s">
        <v>8</v>
      </c>
      <c r="D10" s="1" t="s">
        <v>304</v>
      </c>
    </row>
    <row r="11" spans="1:4" ht="75.75" thickBot="1" x14ac:dyDescent="0.3">
      <c r="A11" s="1">
        <v>7</v>
      </c>
      <c r="B11" s="15" t="s">
        <v>300</v>
      </c>
      <c r="C11" s="31" t="s">
        <v>301</v>
      </c>
      <c r="D11" s="1" t="s">
        <v>308</v>
      </c>
    </row>
    <row r="12" spans="1:4" ht="30.75" thickBot="1" x14ac:dyDescent="0.3">
      <c r="A12" s="1">
        <v>6</v>
      </c>
      <c r="B12" s="4" t="s">
        <v>10</v>
      </c>
      <c r="C12" s="5" t="s">
        <v>11</v>
      </c>
      <c r="D12" s="1" t="s">
        <v>305</v>
      </c>
    </row>
    <row r="13" spans="1:4" ht="30.75" thickBot="1" x14ac:dyDescent="0.3">
      <c r="A13" s="1">
        <v>5</v>
      </c>
      <c r="B13" s="4" t="s">
        <v>12</v>
      </c>
      <c r="C13" s="5" t="s">
        <v>11</v>
      </c>
      <c r="D13" s="1" t="s">
        <v>303</v>
      </c>
    </row>
    <row r="14" spans="1:4" ht="30.75" thickBot="1" x14ac:dyDescent="0.3">
      <c r="A14" s="1">
        <v>4</v>
      </c>
      <c r="B14" s="4" t="s">
        <v>13</v>
      </c>
      <c r="C14" s="5" t="s">
        <v>14</v>
      </c>
      <c r="D14" s="1" t="s">
        <v>303</v>
      </c>
    </row>
    <row r="15" spans="1:4" ht="30.75" thickBot="1" x14ac:dyDescent="0.3">
      <c r="A15" s="1">
        <v>3</v>
      </c>
      <c r="B15" s="4" t="s">
        <v>15</v>
      </c>
      <c r="C15" s="5" t="s">
        <v>16</v>
      </c>
      <c r="D15" s="1" t="s">
        <v>302</v>
      </c>
    </row>
    <row r="16" spans="1:4" ht="24" x14ac:dyDescent="0.25">
      <c r="A16" s="1">
        <v>2</v>
      </c>
      <c r="B16" s="4" t="s">
        <v>171</v>
      </c>
      <c r="C16" s="5" t="s">
        <v>172</v>
      </c>
    </row>
    <row r="17" spans="1:4" ht="24" x14ac:dyDescent="0.25">
      <c r="A17" s="1">
        <v>1</v>
      </c>
      <c r="B17" s="15" t="s">
        <v>193</v>
      </c>
      <c r="C17" s="7" t="s">
        <v>306</v>
      </c>
      <c r="D17" s="1" t="s">
        <v>307</v>
      </c>
    </row>
  </sheetData>
  <hyperlinks>
    <hyperlink ref="B7" r:id="rId1" display="http://www.legis.ac.gov.br/detalhar/5365" xr:uid="{FBB72581-9260-471F-BB06-673A4DA06707}"/>
    <hyperlink ref="B9" r:id="rId2" display="http://www.legis.ac.gov.br/detalhar/58" xr:uid="{DF0B2656-BD82-4FE8-BFAE-2C7D8608E2B7}"/>
    <hyperlink ref="B10" r:id="rId3" display="http://www.legis.ac.gov.br/detalhar/4001" xr:uid="{509DE656-2D60-4D18-9B8A-F7889ACF9903}"/>
    <hyperlink ref="B12" r:id="rId4" display="http://www.legis.ac.gov.br/detalhar/3935" xr:uid="{CD438093-536D-4B0E-913B-C2504F84A07A}"/>
    <hyperlink ref="B13" r:id="rId5" display="http://www.legis.ac.gov.br/detalhar/3880" xr:uid="{0D5B3318-BF4C-484C-AF7A-EE678FA112CC}"/>
    <hyperlink ref="B14" r:id="rId6" display="http://www.legis.ac.gov.br/detalhar/3860" xr:uid="{41139303-EC46-4AB9-93DB-B8334F2E7533}"/>
    <hyperlink ref="B15" r:id="rId7" display="http://www.legis.ac.gov.br/detalhar/624" xr:uid="{38265B89-EC44-4FA8-9B5E-81B787D81A54}"/>
    <hyperlink ref="B16" r:id="rId8" display="https://legis.ac.gov.br/detalhar/334" xr:uid="{67935A14-CDFB-47A3-AA15-136ED000783C}"/>
    <hyperlink ref="B8" r:id="rId9" xr:uid="{80223F2E-3A11-443E-99B9-A38C8CEC7130}"/>
    <hyperlink ref="B6" r:id="rId10" xr:uid="{2E28D4F8-2A33-4068-9B74-9E225F51F597}"/>
    <hyperlink ref="B5" r:id="rId11" xr:uid="{8EC28BFC-B260-45C0-BF85-04E03AD2D700}"/>
    <hyperlink ref="B11" r:id="rId12" xr:uid="{99C46D60-E371-4A5C-9BA4-2AF1D10DEF07}"/>
    <hyperlink ref="B17" r:id="rId13" xr:uid="{BCF0D7DE-AFB9-4C09-B62F-66314A205402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43C1-A618-4AFF-BCB0-CE4DA4CCE7AD}">
  <dimension ref="A2:E17"/>
  <sheetViews>
    <sheetView workbookViewId="0">
      <selection activeCell="B4" sqref="B4"/>
    </sheetView>
  </sheetViews>
  <sheetFormatPr defaultRowHeight="15" x14ac:dyDescent="0.25"/>
  <cols>
    <col min="1" max="1" width="14.42578125" bestFit="1" customWidth="1"/>
    <col min="2" max="2" width="34.5703125" customWidth="1"/>
    <col min="3" max="3" width="50" customWidth="1"/>
    <col min="4" max="4" width="26.5703125" bestFit="1" customWidth="1"/>
    <col min="5" max="5" width="14.28515625" bestFit="1" customWidth="1"/>
  </cols>
  <sheetData>
    <row r="2" spans="1:5" x14ac:dyDescent="0.25">
      <c r="B2" s="10" t="s">
        <v>184</v>
      </c>
      <c r="C2" s="10" t="s">
        <v>192</v>
      </c>
    </row>
    <row r="3" spans="1:5" x14ac:dyDescent="0.25">
      <c r="B3" s="10"/>
      <c r="C3" s="10"/>
    </row>
    <row r="4" spans="1:5" x14ac:dyDescent="0.25">
      <c r="A4" s="10" t="s">
        <v>191</v>
      </c>
      <c r="B4" s="11">
        <v>46246</v>
      </c>
      <c r="C4" s="10"/>
    </row>
    <row r="5" spans="1:5" x14ac:dyDescent="0.25">
      <c r="A5" s="10"/>
      <c r="B5" s="11"/>
      <c r="C5" s="10"/>
    </row>
    <row r="6" spans="1:5" x14ac:dyDescent="0.25">
      <c r="B6" s="2" t="s">
        <v>0</v>
      </c>
      <c r="C6" s="2" t="s">
        <v>1</v>
      </c>
      <c r="D6" s="2" t="s">
        <v>314</v>
      </c>
      <c r="E6" s="2" t="s">
        <v>174</v>
      </c>
    </row>
    <row r="7" spans="1:5" x14ac:dyDescent="0.25">
      <c r="B7" s="2"/>
      <c r="C7" s="2"/>
      <c r="D7" s="2"/>
    </row>
    <row r="8" spans="1:5" ht="30" x14ac:dyDescent="0.25">
      <c r="A8" s="25">
        <v>10</v>
      </c>
      <c r="B8" s="36" t="s">
        <v>173</v>
      </c>
      <c r="C8" s="36" t="s">
        <v>185</v>
      </c>
      <c r="D8" s="37" t="s">
        <v>315</v>
      </c>
      <c r="E8" s="37" t="s">
        <v>322</v>
      </c>
    </row>
    <row r="9" spans="1:5" ht="30" x14ac:dyDescent="0.25">
      <c r="A9" s="25">
        <v>9</v>
      </c>
      <c r="B9" s="36" t="s">
        <v>17</v>
      </c>
      <c r="C9" s="36" t="s">
        <v>18</v>
      </c>
      <c r="D9" s="37" t="s">
        <v>315</v>
      </c>
      <c r="E9" s="38" t="s">
        <v>321</v>
      </c>
    </row>
    <row r="10" spans="1:5" ht="45" x14ac:dyDescent="0.25">
      <c r="A10" s="25">
        <v>8</v>
      </c>
      <c r="B10" s="12" t="s">
        <v>19</v>
      </c>
      <c r="C10" s="12" t="s">
        <v>20</v>
      </c>
      <c r="D10" s="25" t="s">
        <v>315</v>
      </c>
      <c r="E10" s="25" t="s">
        <v>320</v>
      </c>
    </row>
    <row r="11" spans="1:5" ht="30" x14ac:dyDescent="0.25">
      <c r="A11" s="25">
        <v>7</v>
      </c>
      <c r="B11" s="12" t="s">
        <v>21</v>
      </c>
      <c r="C11" s="12" t="s">
        <v>22</v>
      </c>
      <c r="D11" s="25" t="s">
        <v>315</v>
      </c>
      <c r="E11" s="39" t="s">
        <v>319</v>
      </c>
    </row>
    <row r="12" spans="1:5" ht="30" x14ac:dyDescent="0.25">
      <c r="A12" s="25">
        <v>6</v>
      </c>
      <c r="B12" s="12" t="s">
        <v>23</v>
      </c>
      <c r="C12" s="12" t="s">
        <v>24</v>
      </c>
      <c r="D12" s="25" t="s">
        <v>315</v>
      </c>
      <c r="E12" s="25" t="s">
        <v>318</v>
      </c>
    </row>
    <row r="13" spans="1:5" ht="30" x14ac:dyDescent="0.25">
      <c r="A13" s="25">
        <v>5</v>
      </c>
      <c r="B13" s="12" t="s">
        <v>25</v>
      </c>
      <c r="C13" s="12" t="s">
        <v>26</v>
      </c>
      <c r="D13" s="25" t="s">
        <v>315</v>
      </c>
      <c r="E13" s="39" t="s">
        <v>317</v>
      </c>
    </row>
    <row r="14" spans="1:5" ht="30" x14ac:dyDescent="0.25">
      <c r="A14" s="25">
        <v>4</v>
      </c>
      <c r="B14" s="12" t="s">
        <v>27</v>
      </c>
      <c r="C14" s="13" t="s">
        <v>28</v>
      </c>
      <c r="D14" s="25" t="s">
        <v>315</v>
      </c>
      <c r="E14" s="25" t="s">
        <v>186</v>
      </c>
    </row>
    <row r="15" spans="1:5" ht="30" x14ac:dyDescent="0.25">
      <c r="A15" s="25">
        <v>3</v>
      </c>
      <c r="B15" s="12" t="s">
        <v>29</v>
      </c>
      <c r="C15" s="13" t="s">
        <v>30</v>
      </c>
      <c r="D15" s="25" t="s">
        <v>315</v>
      </c>
      <c r="E15" s="25" t="s">
        <v>316</v>
      </c>
    </row>
    <row r="16" spans="1:5" ht="30" x14ac:dyDescent="0.25">
      <c r="A16" s="25">
        <v>2</v>
      </c>
      <c r="B16" s="12" t="s">
        <v>31</v>
      </c>
      <c r="C16" s="13" t="s">
        <v>32</v>
      </c>
      <c r="D16" s="25" t="s">
        <v>186</v>
      </c>
      <c r="E16" s="25" t="s">
        <v>186</v>
      </c>
    </row>
    <row r="17" spans="1:5" ht="30" x14ac:dyDescent="0.25">
      <c r="A17" s="25">
        <v>1</v>
      </c>
      <c r="B17" s="12" t="s">
        <v>33</v>
      </c>
      <c r="C17" s="13" t="s">
        <v>34</v>
      </c>
      <c r="D17" s="25" t="s">
        <v>186</v>
      </c>
      <c r="E17" s="25" t="s">
        <v>186</v>
      </c>
    </row>
  </sheetData>
  <hyperlinks>
    <hyperlink ref="B9" r:id="rId1" display="http://www.legis.ac.gov.br/detalhar/2567" xr:uid="{2CBD33D7-4AFE-4C3E-85FD-DE8B3B40C0D3}"/>
    <hyperlink ref="B10" r:id="rId2" display="http://www.legis.ac.gov.br/detalhar/2044" xr:uid="{2B725C71-93E7-4AAE-BF63-567BB1C9B735}"/>
    <hyperlink ref="B11" r:id="rId3" display="http://www.legis.ac.gov.br/detalhar/2722" xr:uid="{021DA5CC-D359-4806-817B-B7A72D8FEB93}"/>
    <hyperlink ref="B12" r:id="rId4" display="http://www.legis.ac.gov.br/detalhar/3484" xr:uid="{F8F949A2-9C6E-4D1E-AC28-39CBE1B9DD2A}"/>
    <hyperlink ref="B13" r:id="rId5" display="http://www.legis.ac.gov.br/detalhar/1070" xr:uid="{593632A0-7F3B-4CB7-8708-53C2BD63E979}"/>
    <hyperlink ref="B14" r:id="rId6" display="http://www.legis.ac.gov.br/detalhar/922" xr:uid="{10D92EBF-7A98-4EDA-84CA-23F08AEAFAC8}"/>
    <hyperlink ref="B15" r:id="rId7" display="http://www.legis.ac.gov.br/detalhar/3221" xr:uid="{4BA3E0E4-3A89-4653-9EBA-4DC94A78B976}"/>
    <hyperlink ref="B16" r:id="rId8" display="http://www.legis.ac.gov.br/detalhar/2730" xr:uid="{2CE5C99E-FCD2-49B2-9DA0-7FB9894F2DD3}"/>
    <hyperlink ref="B17" r:id="rId9" display="http://www.legis.ac.gov.br/detalhar/2589" xr:uid="{48CE0AE9-359F-4CAA-AA70-9A3734F4A631}"/>
    <hyperlink ref="B8" r:id="rId10" display="https://legis.ac.gov.br/detalhar/5972" xr:uid="{B41F4475-CE5E-45F5-BD09-106AB79E7DBF}"/>
    <hyperlink ref="C9" r:id="rId11" xr:uid="{3D0AB7DD-4354-43EB-B7F9-67B9EEABADF3}"/>
    <hyperlink ref="C12" r:id="rId12" xr:uid="{B01102D9-90DF-4573-89FC-B7BE52DDC04C}"/>
    <hyperlink ref="C11" r:id="rId13" xr:uid="{FA8E6E28-0E34-438D-96D2-A5436FE29F10}"/>
    <hyperlink ref="C10" r:id="rId14" xr:uid="{16D1840A-CF2F-44F5-9E83-D6500448F179}"/>
    <hyperlink ref="C8" r:id="rId15" xr:uid="{B2750A11-F577-410A-9B55-491A9A432E9E}"/>
    <hyperlink ref="C13" r:id="rId16" xr:uid="{9F304515-C1C0-40D1-9F02-2B1839DCF269}"/>
  </hyperlinks>
  <pageMargins left="0.511811024" right="0.511811024" top="0.78740157499999996" bottom="0.78740157499999996" header="0.31496062000000002" footer="0.31496062000000002"/>
  <pageSetup paperSize="9" orientation="portrait"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08C8-194E-4B5D-8B75-9D294F64D861}">
  <dimension ref="A2:F42"/>
  <sheetViews>
    <sheetView workbookViewId="0">
      <selection activeCell="B2" sqref="B2"/>
    </sheetView>
  </sheetViews>
  <sheetFormatPr defaultRowHeight="15" x14ac:dyDescent="0.25"/>
  <cols>
    <col min="1" max="1" width="14.42578125" bestFit="1" customWidth="1"/>
    <col min="2" max="2" width="22.42578125" bestFit="1" customWidth="1"/>
    <col min="3" max="3" width="52.5703125" bestFit="1" customWidth="1"/>
    <col min="4" max="4" width="22.7109375" bestFit="1" customWidth="1"/>
    <col min="5" max="5" width="18.42578125" customWidth="1"/>
    <col min="6" max="6" width="104.85546875" bestFit="1" customWidth="1"/>
  </cols>
  <sheetData>
    <row r="2" spans="1:6" x14ac:dyDescent="0.25">
      <c r="A2" s="10" t="s">
        <v>191</v>
      </c>
      <c r="B2" s="11">
        <v>46246</v>
      </c>
    </row>
    <row r="4" spans="1:6" x14ac:dyDescent="0.25">
      <c r="B4" s="2" t="s">
        <v>0</v>
      </c>
      <c r="C4" s="2" t="s">
        <v>1</v>
      </c>
      <c r="D4" s="2" t="s">
        <v>35</v>
      </c>
      <c r="E4" s="2" t="s">
        <v>174</v>
      </c>
      <c r="F4" s="2" t="s">
        <v>175</v>
      </c>
    </row>
    <row r="5" spans="1:6" x14ac:dyDescent="0.25">
      <c r="B5" s="2"/>
      <c r="C5" s="2"/>
      <c r="D5" s="2"/>
      <c r="E5" s="2"/>
      <c r="F5" s="2"/>
    </row>
    <row r="6" spans="1:6" x14ac:dyDescent="0.25">
      <c r="B6" s="2"/>
      <c r="C6" s="2"/>
      <c r="D6" s="2"/>
      <c r="E6" s="2"/>
      <c r="F6" s="2"/>
    </row>
    <row r="7" spans="1:6" ht="99" customHeight="1" x14ac:dyDescent="0.25">
      <c r="A7" s="40">
        <v>36</v>
      </c>
      <c r="B7" s="47" t="s">
        <v>180</v>
      </c>
      <c r="C7" s="48" t="s">
        <v>181</v>
      </c>
      <c r="D7" s="40" t="s">
        <v>315</v>
      </c>
      <c r="E7" s="40" t="s">
        <v>341</v>
      </c>
      <c r="F7" s="46" t="s">
        <v>345</v>
      </c>
    </row>
    <row r="8" spans="1:6" ht="104.25" customHeight="1" x14ac:dyDescent="0.25">
      <c r="A8" s="40">
        <v>35</v>
      </c>
      <c r="B8" s="47" t="s">
        <v>178</v>
      </c>
      <c r="C8" s="48" t="s">
        <v>179</v>
      </c>
      <c r="D8" s="40" t="s">
        <v>315</v>
      </c>
      <c r="E8" s="45" t="s">
        <v>343</v>
      </c>
      <c r="F8" s="53" t="s">
        <v>344</v>
      </c>
    </row>
    <row r="9" spans="1:6" ht="45" x14ac:dyDescent="0.25">
      <c r="A9" s="40">
        <v>34</v>
      </c>
      <c r="B9" s="41" t="s">
        <v>36</v>
      </c>
      <c r="C9" s="50" t="s">
        <v>37</v>
      </c>
      <c r="D9" s="40" t="s">
        <v>315</v>
      </c>
      <c r="E9" s="45" t="s">
        <v>341</v>
      </c>
      <c r="F9" s="46" t="s">
        <v>342</v>
      </c>
    </row>
    <row r="10" spans="1:6" ht="90" x14ac:dyDescent="0.25">
      <c r="A10" s="40">
        <v>33</v>
      </c>
      <c r="B10" s="47" t="s">
        <v>38</v>
      </c>
      <c r="C10" s="48" t="s">
        <v>39</v>
      </c>
      <c r="D10" s="40" t="s">
        <v>315</v>
      </c>
      <c r="E10" s="45" t="s">
        <v>340</v>
      </c>
      <c r="F10" s="46" t="s">
        <v>339</v>
      </c>
    </row>
    <row r="11" spans="1:6" ht="45" x14ac:dyDescent="0.25">
      <c r="A11" s="40">
        <v>32</v>
      </c>
      <c r="B11" s="41" t="s">
        <v>40</v>
      </c>
      <c r="C11" s="42" t="s">
        <v>41</v>
      </c>
      <c r="D11" s="40" t="s">
        <v>315</v>
      </c>
      <c r="E11" s="45" t="s">
        <v>187</v>
      </c>
      <c r="F11" s="43"/>
    </row>
    <row r="12" spans="1:6" ht="45" x14ac:dyDescent="0.25">
      <c r="A12" s="40">
        <v>31</v>
      </c>
      <c r="B12" s="41" t="s">
        <v>42</v>
      </c>
      <c r="C12" s="42" t="s">
        <v>43</v>
      </c>
      <c r="D12" s="40" t="s">
        <v>315</v>
      </c>
      <c r="E12" s="40"/>
      <c r="F12" s="46"/>
    </row>
    <row r="13" spans="1:6" ht="45" x14ac:dyDescent="0.25">
      <c r="A13" s="40">
        <v>30</v>
      </c>
      <c r="B13" s="41" t="s">
        <v>44</v>
      </c>
      <c r="C13" s="42" t="s">
        <v>45</v>
      </c>
      <c r="D13" s="40" t="s">
        <v>315</v>
      </c>
      <c r="E13" s="40"/>
      <c r="F13" s="43"/>
    </row>
    <row r="14" spans="1:6" ht="45" x14ac:dyDescent="0.25">
      <c r="A14" s="40">
        <v>29</v>
      </c>
      <c r="B14" s="41" t="s">
        <v>46</v>
      </c>
      <c r="C14" s="42" t="s">
        <v>47</v>
      </c>
      <c r="D14" s="40" t="s">
        <v>315</v>
      </c>
      <c r="E14" s="40"/>
      <c r="F14" s="43"/>
    </row>
    <row r="15" spans="1:6" ht="45" x14ac:dyDescent="0.25">
      <c r="A15" s="40">
        <v>28</v>
      </c>
      <c r="B15" s="41" t="s">
        <v>48</v>
      </c>
      <c r="C15" s="42" t="s">
        <v>49</v>
      </c>
      <c r="D15" s="40" t="s">
        <v>315</v>
      </c>
      <c r="E15" s="40"/>
      <c r="F15" s="43"/>
    </row>
    <row r="16" spans="1:6" ht="45" x14ac:dyDescent="0.25">
      <c r="A16" s="40">
        <v>27</v>
      </c>
      <c r="B16" s="41" t="s">
        <v>50</v>
      </c>
      <c r="C16" s="42" t="s">
        <v>51</v>
      </c>
      <c r="D16" s="40" t="s">
        <v>315</v>
      </c>
      <c r="E16" s="40"/>
      <c r="F16" s="43"/>
    </row>
    <row r="17" spans="1:6" ht="45" x14ac:dyDescent="0.25">
      <c r="A17" s="40">
        <v>26</v>
      </c>
      <c r="B17" s="41" t="s">
        <v>52</v>
      </c>
      <c r="C17" s="42" t="s">
        <v>53</v>
      </c>
      <c r="D17" s="40" t="s">
        <v>315</v>
      </c>
      <c r="E17" s="40"/>
      <c r="F17" s="43"/>
    </row>
    <row r="18" spans="1:6" ht="45" x14ac:dyDescent="0.25">
      <c r="A18" s="40">
        <v>25</v>
      </c>
      <c r="B18" s="41" t="s">
        <v>54</v>
      </c>
      <c r="C18" s="42" t="s">
        <v>55</v>
      </c>
      <c r="D18" s="40" t="s">
        <v>315</v>
      </c>
      <c r="E18" s="40"/>
      <c r="F18" s="43"/>
    </row>
    <row r="19" spans="1:6" ht="45" x14ac:dyDescent="0.25">
      <c r="A19" s="40">
        <v>24</v>
      </c>
      <c r="B19" s="41" t="s">
        <v>56</v>
      </c>
      <c r="C19" s="42" t="s">
        <v>57</v>
      </c>
      <c r="D19" s="40" t="s">
        <v>315</v>
      </c>
      <c r="E19" s="40"/>
      <c r="F19" s="43"/>
    </row>
    <row r="20" spans="1:6" ht="45" x14ac:dyDescent="0.25">
      <c r="A20" s="40">
        <v>23</v>
      </c>
      <c r="B20" s="41" t="s">
        <v>58</v>
      </c>
      <c r="C20" s="42" t="s">
        <v>59</v>
      </c>
      <c r="D20" s="40" t="s">
        <v>315</v>
      </c>
      <c r="E20" s="42"/>
      <c r="F20" s="43"/>
    </row>
    <row r="21" spans="1:6" ht="45" x14ac:dyDescent="0.25">
      <c r="A21" s="40">
        <v>22</v>
      </c>
      <c r="B21" s="41" t="s">
        <v>60</v>
      </c>
      <c r="C21" s="42" t="s">
        <v>61</v>
      </c>
      <c r="D21" s="40" t="s">
        <v>315</v>
      </c>
      <c r="E21" s="42"/>
      <c r="F21" s="43"/>
    </row>
    <row r="22" spans="1:6" ht="45" x14ac:dyDescent="0.25">
      <c r="A22" s="40">
        <v>21</v>
      </c>
      <c r="B22" s="41" t="s">
        <v>62</v>
      </c>
      <c r="C22" s="42" t="s">
        <v>63</v>
      </c>
      <c r="D22" s="40" t="s">
        <v>315</v>
      </c>
      <c r="E22" s="52" t="s">
        <v>337</v>
      </c>
      <c r="F22" s="49" t="s">
        <v>338</v>
      </c>
    </row>
    <row r="23" spans="1:6" ht="60" x14ac:dyDescent="0.25">
      <c r="A23" s="40">
        <v>20</v>
      </c>
      <c r="B23" s="47" t="s">
        <v>64</v>
      </c>
      <c r="C23" s="48" t="s">
        <v>65</v>
      </c>
      <c r="D23" s="40" t="s">
        <v>315</v>
      </c>
      <c r="E23" s="40" t="s">
        <v>335</v>
      </c>
      <c r="F23" s="46" t="s">
        <v>336</v>
      </c>
    </row>
    <row r="24" spans="1:6" ht="45" x14ac:dyDescent="0.25">
      <c r="A24" s="40">
        <v>19</v>
      </c>
      <c r="B24" s="51" t="s">
        <v>66</v>
      </c>
      <c r="C24" s="50" t="s">
        <v>67</v>
      </c>
      <c r="D24" s="40" t="s">
        <v>315</v>
      </c>
      <c r="E24" s="52" t="s">
        <v>333</v>
      </c>
      <c r="F24" s="46" t="s">
        <v>334</v>
      </c>
    </row>
    <row r="25" spans="1:6" ht="45" x14ac:dyDescent="0.25">
      <c r="A25" s="40">
        <v>18</v>
      </c>
      <c r="B25" s="41" t="s">
        <v>68</v>
      </c>
      <c r="C25" s="42" t="s">
        <v>69</v>
      </c>
      <c r="D25" s="40" t="s">
        <v>315</v>
      </c>
      <c r="E25" s="42"/>
      <c r="F25" s="43"/>
    </row>
    <row r="26" spans="1:6" ht="409.5" x14ac:dyDescent="0.25">
      <c r="A26" s="40">
        <v>17</v>
      </c>
      <c r="B26" s="47" t="s">
        <v>70</v>
      </c>
      <c r="C26" s="50" t="s">
        <v>71</v>
      </c>
      <c r="D26" s="40" t="s">
        <v>315</v>
      </c>
      <c r="E26" s="40" t="s">
        <v>331</v>
      </c>
      <c r="F26" s="46" t="s">
        <v>332</v>
      </c>
    </row>
    <row r="27" spans="1:6" ht="379.5" customHeight="1" x14ac:dyDescent="0.25">
      <c r="A27" s="40">
        <v>16</v>
      </c>
      <c r="B27" s="47" t="s">
        <v>72</v>
      </c>
      <c r="C27" s="48" t="s">
        <v>73</v>
      </c>
      <c r="D27" s="40" t="s">
        <v>315</v>
      </c>
      <c r="E27" s="40" t="s">
        <v>329</v>
      </c>
      <c r="F27" s="46" t="s">
        <v>330</v>
      </c>
    </row>
    <row r="28" spans="1:6" ht="345" x14ac:dyDescent="0.25">
      <c r="A28" s="40">
        <v>15</v>
      </c>
      <c r="B28" s="47" t="s">
        <v>74</v>
      </c>
      <c r="C28" s="48" t="s">
        <v>75</v>
      </c>
      <c r="D28" s="40" t="s">
        <v>315</v>
      </c>
      <c r="E28" s="40" t="s">
        <v>327</v>
      </c>
      <c r="F28" s="46" t="s">
        <v>328</v>
      </c>
    </row>
    <row r="29" spans="1:6" ht="45" x14ac:dyDescent="0.25">
      <c r="A29" s="40">
        <v>14</v>
      </c>
      <c r="B29" s="41" t="s">
        <v>76</v>
      </c>
      <c r="C29" s="42" t="s">
        <v>77</v>
      </c>
      <c r="D29" s="40" t="s">
        <v>315</v>
      </c>
      <c r="E29" s="42"/>
      <c r="F29" s="43"/>
    </row>
    <row r="30" spans="1:6" ht="45" x14ac:dyDescent="0.25">
      <c r="A30" s="40">
        <v>13</v>
      </c>
      <c r="B30" s="41" t="s">
        <v>78</v>
      </c>
      <c r="C30" s="42" t="s">
        <v>79</v>
      </c>
      <c r="D30" s="40" t="s">
        <v>315</v>
      </c>
      <c r="E30" s="42"/>
      <c r="F30" s="43"/>
    </row>
    <row r="31" spans="1:6" ht="45" x14ac:dyDescent="0.25">
      <c r="A31" s="40">
        <v>12</v>
      </c>
      <c r="B31" s="41" t="s">
        <v>80</v>
      </c>
      <c r="C31" s="42" t="s">
        <v>81</v>
      </c>
      <c r="D31" s="40" t="s">
        <v>315</v>
      </c>
      <c r="E31" s="42"/>
      <c r="F31" s="43"/>
    </row>
    <row r="32" spans="1:6" ht="45" customHeight="1" x14ac:dyDescent="0.25">
      <c r="A32" s="40">
        <v>11</v>
      </c>
      <c r="B32" s="41" t="s">
        <v>82</v>
      </c>
      <c r="C32" s="42" t="s">
        <v>83</v>
      </c>
      <c r="D32" s="40" t="s">
        <v>315</v>
      </c>
      <c r="E32" s="42"/>
      <c r="F32" s="43"/>
    </row>
    <row r="33" spans="1:6" ht="340.5" customHeight="1" x14ac:dyDescent="0.25">
      <c r="A33" s="40">
        <v>10</v>
      </c>
      <c r="B33" s="47" t="s">
        <v>84</v>
      </c>
      <c r="C33" s="48" t="s">
        <v>85</v>
      </c>
      <c r="D33" s="40" t="s">
        <v>315</v>
      </c>
      <c r="E33" s="48" t="s">
        <v>325</v>
      </c>
      <c r="F33" s="49" t="s">
        <v>326</v>
      </c>
    </row>
    <row r="34" spans="1:6" ht="45" x14ac:dyDescent="0.25">
      <c r="A34" s="40">
        <v>9</v>
      </c>
      <c r="B34" s="41" t="s">
        <v>86</v>
      </c>
      <c r="C34" s="42" t="s">
        <v>87</v>
      </c>
      <c r="D34" s="40" t="s">
        <v>315</v>
      </c>
      <c r="E34" s="42"/>
      <c r="F34" s="43"/>
    </row>
    <row r="35" spans="1:6" ht="45" x14ac:dyDescent="0.25">
      <c r="A35" s="40">
        <v>8</v>
      </c>
      <c r="B35" s="41" t="s">
        <v>88</v>
      </c>
      <c r="C35" s="42" t="s">
        <v>89</v>
      </c>
      <c r="D35" s="40" t="s">
        <v>315</v>
      </c>
      <c r="E35" s="42"/>
      <c r="F35" s="43"/>
    </row>
    <row r="36" spans="1:6" ht="45" x14ac:dyDescent="0.25">
      <c r="A36" s="40">
        <v>7</v>
      </c>
      <c r="B36" s="41" t="s">
        <v>90</v>
      </c>
      <c r="C36" s="42" t="s">
        <v>91</v>
      </c>
      <c r="D36" s="40" t="s">
        <v>315</v>
      </c>
      <c r="E36" s="42"/>
      <c r="F36" s="43"/>
    </row>
    <row r="37" spans="1:6" ht="45" x14ac:dyDescent="0.25">
      <c r="A37" s="40">
        <v>6</v>
      </c>
      <c r="B37" s="41" t="s">
        <v>92</v>
      </c>
      <c r="C37" s="42" t="s">
        <v>93</v>
      </c>
      <c r="D37" s="40" t="s">
        <v>315</v>
      </c>
      <c r="E37" s="42"/>
      <c r="F37" s="43"/>
    </row>
    <row r="38" spans="1:6" ht="45" x14ac:dyDescent="0.25">
      <c r="A38" s="40">
        <v>5</v>
      </c>
      <c r="B38" s="41" t="s">
        <v>92</v>
      </c>
      <c r="C38" s="42" t="s">
        <v>94</v>
      </c>
      <c r="D38" s="40" t="s">
        <v>315</v>
      </c>
      <c r="E38" s="42"/>
      <c r="F38" s="43"/>
    </row>
    <row r="39" spans="1:6" ht="45" x14ac:dyDescent="0.25">
      <c r="A39" s="40">
        <v>4</v>
      </c>
      <c r="B39" s="41" t="s">
        <v>95</v>
      </c>
      <c r="C39" s="42" t="s">
        <v>96</v>
      </c>
      <c r="D39" s="40" t="s">
        <v>315</v>
      </c>
      <c r="E39" s="42"/>
      <c r="F39" s="43"/>
    </row>
    <row r="40" spans="1:6" ht="45" x14ac:dyDescent="0.25">
      <c r="A40" s="40">
        <v>3</v>
      </c>
      <c r="B40" s="41" t="s">
        <v>95</v>
      </c>
      <c r="C40" s="42" t="s">
        <v>97</v>
      </c>
      <c r="D40" s="40" t="s">
        <v>315</v>
      </c>
      <c r="E40" s="42"/>
      <c r="F40" s="43"/>
    </row>
    <row r="41" spans="1:6" ht="45" x14ac:dyDescent="0.25">
      <c r="A41" s="40">
        <v>2</v>
      </c>
      <c r="B41" s="41" t="s">
        <v>98</v>
      </c>
      <c r="C41" s="42" t="s">
        <v>99</v>
      </c>
      <c r="D41" s="40" t="s">
        <v>315</v>
      </c>
      <c r="E41" s="44"/>
      <c r="F41" s="43"/>
    </row>
    <row r="42" spans="1:6" ht="75" x14ac:dyDescent="0.25">
      <c r="A42" s="40">
        <v>1</v>
      </c>
      <c r="B42" s="41" t="s">
        <v>100</v>
      </c>
      <c r="C42" s="42" t="s">
        <v>101</v>
      </c>
      <c r="D42" s="40" t="s">
        <v>315</v>
      </c>
      <c r="E42" s="45" t="s">
        <v>323</v>
      </c>
      <c r="F42" s="46" t="s">
        <v>324</v>
      </c>
    </row>
  </sheetData>
  <hyperlinks>
    <hyperlink ref="B9" r:id="rId1" display="http://www.legis.ac.gov.br/detalhar/5699" xr:uid="{41A605D5-05EE-4173-AFBD-8BBCF50EE149}"/>
    <hyperlink ref="B10" r:id="rId2" display="http://www.legis.ac.gov.br/detalhar/5292" xr:uid="{DAA0D9EE-50FA-4FDF-9D06-CC2E54B1FD1F}"/>
    <hyperlink ref="B11" r:id="rId3" display="http://www.legis.ac.gov.br/detalhar/4707" xr:uid="{5402211B-8504-46C6-9C4D-D4CD3D16DDEA}"/>
    <hyperlink ref="B12" r:id="rId4" display="http://www.legis.ac.gov.br/detalhar/3373" xr:uid="{FEE93713-8144-4FDA-9BC1-D282E3235876}"/>
    <hyperlink ref="B13" r:id="rId5" display="http://www.legis.ac.gov.br/detalhar/2305" xr:uid="{9E845446-940B-4D6D-A680-7E26C376A042}"/>
    <hyperlink ref="B14" r:id="rId6" display="http://www.legis.ac.gov.br/detalhar/2150" xr:uid="{DADD09AB-A718-49B6-A9E6-A8888143B961}"/>
    <hyperlink ref="B15" r:id="rId7" display="http://www.legis.ac.gov.br/detalhar/2705" xr:uid="{EA74E9F0-448E-4333-86E3-E71964724D07}"/>
    <hyperlink ref="B16" r:id="rId8" display="http://www.legis.ac.gov.br/detalhar/2312" xr:uid="{94FBBD34-4E9D-4D4F-981F-2EBF31CBE1E5}"/>
    <hyperlink ref="B17" r:id="rId9" display="http://www.legis.ac.gov.br/detalhar/1304" xr:uid="{7AC618F2-F5FC-46EF-83C3-FC57B5D0333B}"/>
    <hyperlink ref="B18" r:id="rId10" display="http://www.legis.ac.gov.br/detalhar/1027" xr:uid="{265D11D9-D65F-4CBA-A5BF-9A169C34B98B}"/>
    <hyperlink ref="B19" r:id="rId11" display="http://www.legis.ac.gov.br/detalhar/3059" xr:uid="{F483F8B8-045F-4573-A381-903E1324D7D3}"/>
    <hyperlink ref="B20" r:id="rId12" display="http://www.legis.ac.gov.br/detalhar/2957" xr:uid="{520C7006-B86C-41F7-A66A-E4E750F9F698}"/>
    <hyperlink ref="B21" r:id="rId13" display="http://www.legis.ac.gov.br/detalhar/1935" xr:uid="{30862F5E-19C4-4FEF-89E3-4ED91469C5C1}"/>
    <hyperlink ref="B22" r:id="rId14" display="http://www.legis.ac.gov.br/detalhar/466" xr:uid="{9F5DAEE1-009A-42CA-A428-9A31DE3E5DA1}"/>
    <hyperlink ref="B23" r:id="rId15" display="http://www.legis.ac.gov.br/detalhar/294" xr:uid="{BF37E089-0EEF-4879-9CDE-CDEF0210EC87}"/>
    <hyperlink ref="B24" r:id="rId16" display="http://www.legis.ac.gov.br/detalhar/3526" xr:uid="{630D62D1-B8CC-40BD-A060-128BE7A49836}"/>
    <hyperlink ref="B25" r:id="rId17" display="http://www.legis.ac.gov.br/detalhar/3427" xr:uid="{098A647D-D851-4B3E-93C1-4313C2B66410}"/>
    <hyperlink ref="B26" r:id="rId18" display="http://www.legis.ac.gov.br/detalhar/26" xr:uid="{A2F26146-E685-48C1-899E-054CFAB3C265}"/>
    <hyperlink ref="B27" r:id="rId19" display="http://www.legis.ac.gov.br/detalhar/1663" xr:uid="{400D87C8-44DD-4503-9DFA-308C84F5ADB1}"/>
    <hyperlink ref="B28" r:id="rId20" display="http://www.legis.ac.gov.br/detalhar/1116" xr:uid="{1C98F2F3-5B2D-4A91-9747-B1E9F818EC90}"/>
    <hyperlink ref="B29" r:id="rId21" display="http://www.legis.ac.gov.br/detalhar/3830" xr:uid="{40E0FE8D-86F5-4995-84AB-B7441670344B}"/>
    <hyperlink ref="B30" r:id="rId22" display="http://www.legis.ac.gov.br/detalhar/3766" xr:uid="{AE4AC192-CA08-43CF-9245-D4FCB42C65CE}"/>
    <hyperlink ref="B31" r:id="rId23" display="http://www.legis.ac.gov.br/detalhar/1816" xr:uid="{7708007A-0D0C-4CC2-BFDC-B429F55E1D00}"/>
    <hyperlink ref="B32" r:id="rId24" display="http://www.legis.ac.gov.br/detalhar/1763" xr:uid="{D7C1ABDD-D440-4071-975B-E202C452CBEA}"/>
    <hyperlink ref="B33" r:id="rId25" display="http://www.legis.ac.gov.br/detalhar/899" xr:uid="{54D7ED5E-5C34-4C4B-9640-3353D08E3CE1}"/>
    <hyperlink ref="B34" r:id="rId26" display="http://www.legis.ac.gov.br/detalhar/725" xr:uid="{A596A494-EBBD-494F-BCA2-B04F971665CE}"/>
    <hyperlink ref="B35" r:id="rId27" display="http://www.legis.ac.gov.br/detalhar/3322" xr:uid="{A94C1600-9EB3-48AB-B4A3-EAED1A6773EA}"/>
    <hyperlink ref="B36" r:id="rId28" display="http://www.legis.ac.gov.br/detalhar/3260" xr:uid="{1C91A7EB-8614-480C-8BEA-AA6D2DE0F257}"/>
    <hyperlink ref="B37" r:id="rId29" display="http://www.legis.ac.gov.br/detalhar/3193" xr:uid="{0762E4D0-A702-4299-91EA-6314DBC09F11}"/>
    <hyperlink ref="B38" r:id="rId30" display="http://www.legis.ac.gov.br/detalhar/3161" xr:uid="{AEC7D268-FB4C-42B6-B4A2-673171293CF0}"/>
    <hyperlink ref="B39" r:id="rId31" display="http://www.legis.ac.gov.br/detalhar/2831" xr:uid="{BD357A5A-92B4-4AE7-A340-2919FC241740}"/>
    <hyperlink ref="B40" r:id="rId32" display="http://www.legis.ac.gov.br/detalhar/2710" xr:uid="{0F329DC8-9A28-4826-B58E-77A7FEA0B4AB}"/>
    <hyperlink ref="B41" r:id="rId33" display="http://www.legis.ac.gov.br/detalhar/2470" xr:uid="{6659FE4B-B89F-4C45-84E1-770ABD04D8E5}"/>
    <hyperlink ref="B42" r:id="rId34" display="http://www.legis.ac.gov.br/detalhar/1661" xr:uid="{0F69278B-11E3-4A81-964E-2070CEDECDC2}"/>
    <hyperlink ref="B8" r:id="rId35" display="https://legis.ac.gov.br/detalhar/6133" xr:uid="{FE90B4C9-B84E-4D59-9B12-5DEE76D04E40}"/>
    <hyperlink ref="B7" r:id="rId36" display="https://legis.ac.gov.br/detalhar/6528" xr:uid="{5D02D1E4-D045-49A0-91D6-BAB60E924CB4}"/>
  </hyperlinks>
  <pageMargins left="0.511811024" right="0.511811024" top="0.78740157499999996" bottom="0.78740157499999996" header="0.31496062000000002" footer="0.31496062000000002"/>
  <pageSetup paperSize="9" orientation="portrait" r:id="rId3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AFDB-9EA6-4DEC-8332-25E253CA040C}">
  <dimension ref="A2:H43"/>
  <sheetViews>
    <sheetView tabSelected="1" topLeftCell="B1" workbookViewId="0">
      <selection activeCell="E2" sqref="E2"/>
    </sheetView>
  </sheetViews>
  <sheetFormatPr defaultRowHeight="15" x14ac:dyDescent="0.25"/>
  <cols>
    <col min="1" max="1" width="14.42578125" bestFit="1" customWidth="1"/>
    <col min="2" max="2" width="32.28515625" customWidth="1"/>
    <col min="3" max="3" width="53.7109375" customWidth="1"/>
    <col min="4" max="4" width="19.85546875" customWidth="1"/>
    <col min="5" max="5" width="88.42578125" customWidth="1"/>
    <col min="6" max="6" width="19.28515625" bestFit="1" customWidth="1"/>
    <col min="7" max="7" width="18" bestFit="1" customWidth="1"/>
    <col min="8" max="8" width="19.28515625" bestFit="1" customWidth="1"/>
  </cols>
  <sheetData>
    <row r="2" spans="1:8" x14ac:dyDescent="0.25">
      <c r="A2" s="10" t="s">
        <v>191</v>
      </c>
      <c r="B2" s="11">
        <v>46246</v>
      </c>
    </row>
    <row r="4" spans="1:8" x14ac:dyDescent="0.25">
      <c r="B4" s="2" t="s">
        <v>0</v>
      </c>
      <c r="C4" s="2" t="s">
        <v>1</v>
      </c>
      <c r="D4" s="2" t="s">
        <v>9</v>
      </c>
      <c r="E4" s="2" t="s">
        <v>167</v>
      </c>
      <c r="F4" s="2" t="s">
        <v>168</v>
      </c>
      <c r="G4" s="2" t="s">
        <v>169</v>
      </c>
      <c r="H4" s="2" t="s">
        <v>170</v>
      </c>
    </row>
    <row r="5" spans="1:8" x14ac:dyDescent="0.25">
      <c r="B5" s="2"/>
      <c r="C5" s="2"/>
      <c r="D5" s="2"/>
      <c r="E5" s="2"/>
      <c r="F5" s="2"/>
      <c r="G5" s="2"/>
      <c r="H5" s="2"/>
    </row>
    <row r="6" spans="1:8" x14ac:dyDescent="0.25">
      <c r="A6" s="25">
        <v>37</v>
      </c>
      <c r="B6" s="54"/>
      <c r="C6" s="54"/>
      <c r="D6" s="54"/>
      <c r="E6" s="54"/>
      <c r="F6" s="54"/>
      <c r="G6" s="54"/>
      <c r="H6" s="54"/>
    </row>
    <row r="7" spans="1:8" ht="45" x14ac:dyDescent="0.25">
      <c r="A7" s="55">
        <v>36</v>
      </c>
      <c r="B7" s="56" t="s">
        <v>188</v>
      </c>
      <c r="C7" s="57" t="s">
        <v>189</v>
      </c>
      <c r="D7" s="62" t="s">
        <v>363</v>
      </c>
      <c r="E7" s="59" t="s">
        <v>367</v>
      </c>
      <c r="F7" s="63">
        <f>(24890000+11620000+500000+18028760.63+832508472.24)</f>
        <v>887547232.87</v>
      </c>
      <c r="G7" s="63">
        <f>(5200000+1730000+100000+2000+167461146.49)</f>
        <v>174493146.49000001</v>
      </c>
      <c r="H7" s="63">
        <f>F7+G7</f>
        <v>1062040379.36</v>
      </c>
    </row>
    <row r="8" spans="1:8" ht="45" x14ac:dyDescent="0.25">
      <c r="A8" s="55">
        <v>35</v>
      </c>
      <c r="B8" s="56" t="s">
        <v>182</v>
      </c>
      <c r="C8" s="57" t="s">
        <v>183</v>
      </c>
      <c r="D8" s="62" t="s">
        <v>363</v>
      </c>
      <c r="E8" s="59" t="s">
        <v>367</v>
      </c>
      <c r="F8" s="63">
        <f>(17111975.68+7922020+500000+15628760.63+692668861.1)</f>
        <v>733831617.41000009</v>
      </c>
      <c r="G8" s="63">
        <f>(5125524.29+1961938.57+500000+159326060.74)</f>
        <v>166913523.60000002</v>
      </c>
      <c r="H8" s="63">
        <f>F8+G8</f>
        <v>900745141.01000011</v>
      </c>
    </row>
    <row r="9" spans="1:8" ht="45" x14ac:dyDescent="0.25">
      <c r="A9" s="55">
        <v>34</v>
      </c>
      <c r="B9" s="56" t="s">
        <v>176</v>
      </c>
      <c r="C9" s="57" t="s">
        <v>177</v>
      </c>
      <c r="D9" s="62" t="s">
        <v>363</v>
      </c>
      <c r="E9" s="59" t="s">
        <v>367</v>
      </c>
      <c r="F9" s="61">
        <f>(15105224.2+7500000+500000+14326689.16+630566884.08)</f>
        <v>667998797.44000006</v>
      </c>
      <c r="G9" s="61">
        <f>(17113272.42+13830662.22+300000+101537548.65)</f>
        <v>132781483.29000001</v>
      </c>
      <c r="H9" s="61">
        <f>F9+G9</f>
        <v>800780280.73000002</v>
      </c>
    </row>
    <row r="10" spans="1:8" ht="45" x14ac:dyDescent="0.25">
      <c r="A10" s="55">
        <v>33</v>
      </c>
      <c r="B10" s="56" t="s">
        <v>102</v>
      </c>
      <c r="C10" s="57" t="s">
        <v>103</v>
      </c>
      <c r="D10" s="62" t="s">
        <v>363</v>
      </c>
      <c r="E10" s="59" t="s">
        <v>366</v>
      </c>
      <c r="F10" s="61">
        <f>(7500000+3000000+600000+10000000+553110687.51)</f>
        <v>574210687.50999999</v>
      </c>
      <c r="G10" s="61">
        <f>(11634000+4582000+1000+125421509.67)</f>
        <v>141638509.67000002</v>
      </c>
      <c r="H10" s="61">
        <f>F10+G10</f>
        <v>715849197.18000007</v>
      </c>
    </row>
    <row r="11" spans="1:8" ht="45" x14ac:dyDescent="0.25">
      <c r="A11" s="55">
        <v>32</v>
      </c>
      <c r="B11" s="56" t="s">
        <v>104</v>
      </c>
      <c r="C11" s="57" t="s">
        <v>105</v>
      </c>
      <c r="D11" s="62" t="s">
        <v>363</v>
      </c>
      <c r="E11" s="59" t="s">
        <v>368</v>
      </c>
      <c r="F11" s="61">
        <f>(8380525+2135000+600000+9550000+425033191)</f>
        <v>445698716</v>
      </c>
      <c r="G11" s="61">
        <f>(8780452+5484000+500000+1000+52616309)</f>
        <v>67381761</v>
      </c>
      <c r="H11" s="61">
        <f t="shared" ref="H11:H42" si="0">F11+G11</f>
        <v>513080477</v>
      </c>
    </row>
    <row r="12" spans="1:8" ht="45" x14ac:dyDescent="0.25">
      <c r="A12" s="55">
        <v>31</v>
      </c>
      <c r="B12" s="56" t="s">
        <v>106</v>
      </c>
      <c r="C12" s="57" t="s">
        <v>107</v>
      </c>
      <c r="D12" s="62" t="s">
        <v>363</v>
      </c>
      <c r="E12" s="59" t="s">
        <v>365</v>
      </c>
      <c r="F12" s="61">
        <f>(4790215.21+188000+502000+431596428.44)</f>
        <v>437076643.64999998</v>
      </c>
      <c r="G12" s="61">
        <f>(14522126.08+3056381.1+500000+75000+62318198)</f>
        <v>80471705.180000007</v>
      </c>
      <c r="H12" s="61">
        <f t="shared" si="0"/>
        <v>517548348.82999998</v>
      </c>
    </row>
    <row r="13" spans="1:8" ht="45" x14ac:dyDescent="0.25">
      <c r="A13" s="55">
        <v>30</v>
      </c>
      <c r="B13" s="56" t="s">
        <v>108</v>
      </c>
      <c r="C13" s="57" t="s">
        <v>109</v>
      </c>
      <c r="D13" s="62" t="s">
        <v>363</v>
      </c>
      <c r="E13" s="59" t="s">
        <v>364</v>
      </c>
      <c r="F13" s="61">
        <f>(1989582+50000+10000+4093490+300090788.24)</f>
        <v>306233860.24000001</v>
      </c>
      <c r="G13" s="61">
        <f>(1834230+882000+209000+75000+57761699.85)</f>
        <v>60761929.850000001</v>
      </c>
      <c r="H13" s="61">
        <f t="shared" si="0"/>
        <v>366995790.09000003</v>
      </c>
    </row>
    <row r="14" spans="1:8" ht="45" x14ac:dyDescent="0.25">
      <c r="A14" s="55">
        <v>29</v>
      </c>
      <c r="B14" s="56" t="s">
        <v>110</v>
      </c>
      <c r="C14" s="57" t="s">
        <v>111</v>
      </c>
      <c r="D14" s="62" t="s">
        <v>359</v>
      </c>
      <c r="E14" s="59" t="s">
        <v>362</v>
      </c>
      <c r="F14" s="61">
        <f>(1981582+3252000+288270579.86)</f>
        <v>293504161.86000001</v>
      </c>
      <c r="G14" s="61">
        <f>(2480200+370732.37+680311233.55)</f>
        <v>683162165.91999996</v>
      </c>
      <c r="H14" s="61">
        <f t="shared" si="0"/>
        <v>976666327.77999997</v>
      </c>
    </row>
    <row r="15" spans="1:8" ht="45" x14ac:dyDescent="0.25">
      <c r="A15" s="55">
        <v>28</v>
      </c>
      <c r="B15" s="56" t="s">
        <v>112</v>
      </c>
      <c r="C15" s="57" t="s">
        <v>113</v>
      </c>
      <c r="D15" s="62" t="s">
        <v>359</v>
      </c>
      <c r="E15" s="59" t="s">
        <v>362</v>
      </c>
      <c r="F15" s="61">
        <f>(1322000+3252000+255013939.07)</f>
        <v>259587939.06999999</v>
      </c>
      <c r="G15" s="61">
        <f>(1543200+715732.37+684164599.32)</f>
        <v>686423531.69000006</v>
      </c>
      <c r="H15" s="61">
        <f t="shared" si="0"/>
        <v>946011470.75999999</v>
      </c>
    </row>
    <row r="16" spans="1:8" ht="45" x14ac:dyDescent="0.25">
      <c r="A16" s="55">
        <v>27</v>
      </c>
      <c r="B16" s="56" t="s">
        <v>114</v>
      </c>
      <c r="C16" s="57" t="s">
        <v>115</v>
      </c>
      <c r="D16" s="62" t="s">
        <v>359</v>
      </c>
      <c r="E16" s="59" t="s">
        <v>362</v>
      </c>
      <c r="F16" s="61">
        <f>(3925000+3252000+242874911.44)</f>
        <v>250051911.44</v>
      </c>
      <c r="G16" s="61">
        <f>(5970000+450000+568595620.06)</f>
        <v>575015620.05999994</v>
      </c>
      <c r="H16" s="61">
        <f t="shared" si="0"/>
        <v>825067531.5</v>
      </c>
    </row>
    <row r="17" spans="1:8" ht="45" x14ac:dyDescent="0.25">
      <c r="A17" s="55">
        <v>26</v>
      </c>
      <c r="B17" s="56" t="s">
        <v>165</v>
      </c>
      <c r="C17" s="57" t="s">
        <v>166</v>
      </c>
      <c r="D17" s="62" t="s">
        <v>359</v>
      </c>
      <c r="E17" s="59" t="s">
        <v>362</v>
      </c>
      <c r="F17" s="61">
        <f>(3400000+3252000+248602881.37)</f>
        <v>255254881.37</v>
      </c>
      <c r="G17" s="61">
        <f>(24316948.31+8850000+596604845.49)</f>
        <v>629771793.79999995</v>
      </c>
      <c r="H17" s="61">
        <f t="shared" si="0"/>
        <v>885026675.16999996</v>
      </c>
    </row>
    <row r="18" spans="1:8" ht="45" x14ac:dyDescent="0.25">
      <c r="A18" s="55">
        <v>25</v>
      </c>
      <c r="B18" s="56" t="s">
        <v>116</v>
      </c>
      <c r="C18" s="57" t="s">
        <v>117</v>
      </c>
      <c r="D18" s="62" t="s">
        <v>359</v>
      </c>
      <c r="E18" s="59" t="s">
        <v>362</v>
      </c>
      <c r="F18" s="61">
        <f>(1620000+3252000+247399270.18)</f>
        <v>252271270.18000001</v>
      </c>
      <c r="G18" s="61">
        <f>(14316948.31+8800000+574381286.44)</f>
        <v>597498234.75</v>
      </c>
      <c r="H18" s="61">
        <f t="shared" si="0"/>
        <v>849769504.93000007</v>
      </c>
    </row>
    <row r="19" spans="1:8" ht="30" x14ac:dyDescent="0.25">
      <c r="A19" s="55">
        <v>24</v>
      </c>
      <c r="B19" s="56" t="s">
        <v>361</v>
      </c>
      <c r="C19" s="57" t="s">
        <v>118</v>
      </c>
      <c r="D19" s="62" t="s">
        <v>359</v>
      </c>
      <c r="E19" s="59" t="s">
        <v>362</v>
      </c>
      <c r="F19" s="61">
        <f>(3782991+3252000+258745883.44)</f>
        <v>265780874.44</v>
      </c>
      <c r="G19" s="61">
        <f>(12787863.8+1500000+511178983.28)</f>
        <v>525466847.07999998</v>
      </c>
      <c r="H19" s="61">
        <f t="shared" si="0"/>
        <v>791247721.51999998</v>
      </c>
    </row>
    <row r="20" spans="1:8" ht="45" x14ac:dyDescent="0.25">
      <c r="A20" s="55">
        <v>23</v>
      </c>
      <c r="B20" s="56" t="s">
        <v>119</v>
      </c>
      <c r="C20" s="57" t="s">
        <v>120</v>
      </c>
      <c r="D20" s="62" t="s">
        <v>359</v>
      </c>
      <c r="E20" s="59" t="s">
        <v>360</v>
      </c>
      <c r="F20" s="61">
        <f>(3723000+3252000+231607816.94)</f>
        <v>238582816.94</v>
      </c>
      <c r="G20" s="61">
        <f>(16065995.49+7700000+506365360.04)</f>
        <v>530131355.53000003</v>
      </c>
      <c r="H20" s="61">
        <f t="shared" si="0"/>
        <v>768714172.47000003</v>
      </c>
    </row>
    <row r="21" spans="1:8" ht="45" x14ac:dyDescent="0.25">
      <c r="A21" s="55">
        <v>22</v>
      </c>
      <c r="B21" s="56" t="s">
        <v>121</v>
      </c>
      <c r="C21" s="57" t="s">
        <v>122</v>
      </c>
      <c r="D21" s="62" t="s">
        <v>359</v>
      </c>
      <c r="E21" s="59" t="s">
        <v>360</v>
      </c>
      <c r="F21" s="61">
        <f>(6706000+4352000+216607760.12)</f>
        <v>227665760.12</v>
      </c>
      <c r="G21" s="61">
        <f>(20505995.49+7700000+464241709.09)</f>
        <v>492447704.57999998</v>
      </c>
      <c r="H21" s="61">
        <f t="shared" si="0"/>
        <v>720113464.70000005</v>
      </c>
    </row>
    <row r="22" spans="1:8" ht="45" x14ac:dyDescent="0.25">
      <c r="A22" s="55">
        <v>21</v>
      </c>
      <c r="B22" s="56" t="s">
        <v>123</v>
      </c>
      <c r="C22" s="57" t="s">
        <v>124</v>
      </c>
      <c r="D22" s="62" t="s">
        <v>357</v>
      </c>
      <c r="E22" s="59" t="s">
        <v>358</v>
      </c>
      <c r="F22" s="61">
        <f>(8043000+3252000+201415221.69)</f>
        <v>212710221.69</v>
      </c>
      <c r="G22" s="61">
        <f>(16291365.52+22783923.75+395377393.48)</f>
        <v>434452682.75</v>
      </c>
      <c r="H22" s="61">
        <f t="shared" si="0"/>
        <v>647162904.44000006</v>
      </c>
    </row>
    <row r="23" spans="1:8" ht="45" x14ac:dyDescent="0.25">
      <c r="A23" s="55">
        <v>20</v>
      </c>
      <c r="B23" s="56" t="s">
        <v>125</v>
      </c>
      <c r="C23" s="57" t="s">
        <v>126</v>
      </c>
      <c r="D23" s="62" t="s">
        <v>357</v>
      </c>
      <c r="E23" s="59" t="s">
        <v>356</v>
      </c>
      <c r="F23" s="61">
        <f>(2687977+3252000+172704512.12)</f>
        <v>178644489.12</v>
      </c>
      <c r="G23" s="61">
        <f>(40011726.88+21334573.63+373115242.35)</f>
        <v>434461542.86000001</v>
      </c>
      <c r="H23" s="61">
        <f t="shared" si="0"/>
        <v>613106031.98000002</v>
      </c>
    </row>
    <row r="24" spans="1:8" ht="45" x14ac:dyDescent="0.25">
      <c r="A24" s="55">
        <v>19</v>
      </c>
      <c r="B24" s="56" t="s">
        <v>127</v>
      </c>
      <c r="C24" s="57" t="s">
        <v>128</v>
      </c>
      <c r="D24" s="62" t="s">
        <v>354</v>
      </c>
      <c r="E24" s="59" t="s">
        <v>355</v>
      </c>
      <c r="F24" s="61">
        <f>8715573+210766301</f>
        <v>219481874</v>
      </c>
      <c r="G24" s="61">
        <f>6546000+372708249.46</f>
        <v>379254249.45999998</v>
      </c>
      <c r="H24" s="61">
        <f t="shared" si="0"/>
        <v>598736123.46000004</v>
      </c>
    </row>
    <row r="25" spans="1:8" ht="45" x14ac:dyDescent="0.25">
      <c r="A25" s="55">
        <v>18</v>
      </c>
      <c r="B25" s="56" t="s">
        <v>129</v>
      </c>
      <c r="C25" s="57" t="s">
        <v>130</v>
      </c>
      <c r="D25" s="62"/>
      <c r="E25" s="59" t="s">
        <v>353</v>
      </c>
      <c r="F25" s="61">
        <f>11408003+192748846.5</f>
        <v>204156849.5</v>
      </c>
      <c r="G25" s="61">
        <f>11816636+300084183.29</f>
        <v>311900819.29000002</v>
      </c>
      <c r="H25" s="61">
        <f t="shared" si="0"/>
        <v>516057668.79000002</v>
      </c>
    </row>
    <row r="26" spans="1:8" ht="45" x14ac:dyDescent="0.25">
      <c r="A26" s="55">
        <v>17</v>
      </c>
      <c r="B26" s="56" t="s">
        <v>131</v>
      </c>
      <c r="C26" s="57" t="s">
        <v>132</v>
      </c>
      <c r="D26" s="58"/>
      <c r="E26" s="59" t="s">
        <v>352</v>
      </c>
      <c r="F26" s="61">
        <f>985600+217313068</f>
        <v>218298668</v>
      </c>
      <c r="G26" s="61">
        <f>165000+161490260</f>
        <v>161655260</v>
      </c>
      <c r="H26" s="61">
        <f t="shared" si="0"/>
        <v>379953928</v>
      </c>
    </row>
    <row r="27" spans="1:8" ht="45" x14ac:dyDescent="0.25">
      <c r="A27" s="55">
        <v>16</v>
      </c>
      <c r="B27" s="56" t="s">
        <v>133</v>
      </c>
      <c r="C27" s="57" t="s">
        <v>134</v>
      </c>
      <c r="D27" s="58"/>
      <c r="E27" s="59" t="s">
        <v>352</v>
      </c>
      <c r="F27" s="61">
        <f>896000+186527998</f>
        <v>187423998</v>
      </c>
      <c r="G27" s="61">
        <f>165000+141108070</f>
        <v>141273070</v>
      </c>
      <c r="H27" s="61">
        <f t="shared" si="0"/>
        <v>328697068</v>
      </c>
    </row>
    <row r="28" spans="1:8" ht="45" x14ac:dyDescent="0.25">
      <c r="A28" s="55">
        <v>15</v>
      </c>
      <c r="B28" s="56" t="s">
        <v>135</v>
      </c>
      <c r="C28" s="57" t="s">
        <v>136</v>
      </c>
      <c r="D28" s="58"/>
      <c r="E28" s="59" t="s">
        <v>352</v>
      </c>
      <c r="F28" s="61">
        <f>749350+147656110.14</f>
        <v>148405460.13999999</v>
      </c>
      <c r="G28" s="61">
        <f>146273+134151123</f>
        <v>134297396</v>
      </c>
      <c r="H28" s="61">
        <f t="shared" si="0"/>
        <v>282702856.13999999</v>
      </c>
    </row>
    <row r="29" spans="1:8" ht="45" x14ac:dyDescent="0.25">
      <c r="A29" s="55">
        <v>14</v>
      </c>
      <c r="B29" s="56" t="s">
        <v>137</v>
      </c>
      <c r="C29" s="57" t="s">
        <v>138</v>
      </c>
      <c r="D29" s="58"/>
      <c r="E29" s="59" t="s">
        <v>352</v>
      </c>
      <c r="F29" s="61">
        <f>520285+134400612</f>
        <v>134920897</v>
      </c>
      <c r="G29" s="61">
        <f>600000+128083010</f>
        <v>128683010</v>
      </c>
      <c r="H29" s="61">
        <f>F29+G29</f>
        <v>263603907</v>
      </c>
    </row>
    <row r="30" spans="1:8" ht="45" x14ac:dyDescent="0.25">
      <c r="A30" s="55">
        <v>13</v>
      </c>
      <c r="B30" s="56" t="s">
        <v>139</v>
      </c>
      <c r="C30" s="57" t="s">
        <v>140</v>
      </c>
      <c r="D30" s="58"/>
      <c r="E30" s="59" t="s">
        <v>351</v>
      </c>
      <c r="F30" s="61">
        <f>8168006.75+114204662</f>
        <v>122372668.75</v>
      </c>
      <c r="G30" s="61">
        <f>1745246+92523831</f>
        <v>94269077</v>
      </c>
      <c r="H30" s="61">
        <f t="shared" si="0"/>
        <v>216641745.75</v>
      </c>
    </row>
    <row r="31" spans="1:8" ht="45" x14ac:dyDescent="0.25">
      <c r="A31" s="55">
        <v>12</v>
      </c>
      <c r="B31" s="56" t="s">
        <v>141</v>
      </c>
      <c r="C31" s="57" t="s">
        <v>142</v>
      </c>
      <c r="D31" s="58"/>
      <c r="E31" s="59" t="s">
        <v>351</v>
      </c>
      <c r="F31" s="61">
        <f>7611152+106111330</f>
        <v>113722482</v>
      </c>
      <c r="G31" s="61">
        <f>2006905+126518806</f>
        <v>128525711</v>
      </c>
      <c r="H31" s="61">
        <f t="shared" si="0"/>
        <v>242248193</v>
      </c>
    </row>
    <row r="32" spans="1:8" ht="45" x14ac:dyDescent="0.25">
      <c r="A32" s="55">
        <v>11</v>
      </c>
      <c r="B32" s="56" t="s">
        <v>143</v>
      </c>
      <c r="C32" s="57" t="s">
        <v>144</v>
      </c>
      <c r="D32" s="58"/>
      <c r="E32" s="59" t="s">
        <v>350</v>
      </c>
      <c r="F32" s="61">
        <f>4007677+159770011</f>
        <v>163777688</v>
      </c>
      <c r="G32" s="61">
        <f>(779000+77000+80000+4162391)</f>
        <v>5098391</v>
      </c>
      <c r="H32" s="61">
        <f t="shared" si="0"/>
        <v>168876079</v>
      </c>
    </row>
    <row r="33" spans="1:8" ht="45" x14ac:dyDescent="0.25">
      <c r="A33" s="55">
        <v>10</v>
      </c>
      <c r="B33" s="56" t="s">
        <v>145</v>
      </c>
      <c r="C33" s="57" t="s">
        <v>146</v>
      </c>
      <c r="D33" s="58"/>
      <c r="E33" s="59" t="s">
        <v>349</v>
      </c>
      <c r="F33" s="61">
        <f>2508200+139524914</f>
        <v>142033114</v>
      </c>
      <c r="G33" s="61">
        <f>(779000+77000+80000+1865135)</f>
        <v>2801135</v>
      </c>
      <c r="H33" s="61">
        <f t="shared" si="0"/>
        <v>144834249</v>
      </c>
    </row>
    <row r="34" spans="1:8" ht="45" x14ac:dyDescent="0.25">
      <c r="A34" s="55">
        <v>9</v>
      </c>
      <c r="B34" s="56" t="s">
        <v>147</v>
      </c>
      <c r="C34" s="57" t="s">
        <v>148</v>
      </c>
      <c r="D34" s="58"/>
      <c r="E34" s="59" t="s">
        <v>348</v>
      </c>
      <c r="F34" s="61">
        <f>4365000+77212226</f>
        <v>81577226</v>
      </c>
      <c r="G34" s="61">
        <v>2845312</v>
      </c>
      <c r="H34" s="61">
        <f t="shared" si="0"/>
        <v>84422538</v>
      </c>
    </row>
    <row r="35" spans="1:8" ht="45" x14ac:dyDescent="0.25">
      <c r="A35" s="55">
        <v>8</v>
      </c>
      <c r="B35" s="56" t="s">
        <v>149</v>
      </c>
      <c r="C35" s="57" t="s">
        <v>150</v>
      </c>
      <c r="D35" s="58"/>
      <c r="E35" s="59" t="s">
        <v>348</v>
      </c>
      <c r="F35" s="61">
        <f>1269800+69789854</f>
        <v>71059654</v>
      </c>
      <c r="G35" s="61">
        <v>0</v>
      </c>
      <c r="H35" s="61">
        <f t="shared" si="0"/>
        <v>71059654</v>
      </c>
    </row>
    <row r="36" spans="1:8" ht="45" x14ac:dyDescent="0.25">
      <c r="A36" s="55">
        <v>7</v>
      </c>
      <c r="B36" s="56" t="s">
        <v>151</v>
      </c>
      <c r="C36" s="57" t="s">
        <v>152</v>
      </c>
      <c r="D36" s="58"/>
      <c r="E36" s="59" t="s">
        <v>348</v>
      </c>
      <c r="F36" s="61">
        <f>455783+36851229</f>
        <v>37307012</v>
      </c>
      <c r="G36" s="61">
        <v>0</v>
      </c>
      <c r="H36" s="61">
        <f t="shared" si="0"/>
        <v>37307012</v>
      </c>
    </row>
    <row r="37" spans="1:8" ht="45" x14ac:dyDescent="0.25">
      <c r="A37" s="55">
        <v>6</v>
      </c>
      <c r="B37" s="56" t="s">
        <v>153</v>
      </c>
      <c r="C37" s="57" t="s">
        <v>154</v>
      </c>
      <c r="D37" s="58"/>
      <c r="E37" s="59" t="s">
        <v>348</v>
      </c>
      <c r="F37" s="61">
        <f>1079296+13524520</f>
        <v>14603816</v>
      </c>
      <c r="G37" s="61">
        <v>0</v>
      </c>
      <c r="H37" s="61">
        <f t="shared" si="0"/>
        <v>14603816</v>
      </c>
    </row>
    <row r="38" spans="1:8" ht="45" x14ac:dyDescent="0.25">
      <c r="A38" s="55">
        <v>5</v>
      </c>
      <c r="B38" s="56" t="s">
        <v>155</v>
      </c>
      <c r="C38" s="57" t="s">
        <v>156</v>
      </c>
      <c r="D38" s="58"/>
      <c r="E38" s="59" t="s">
        <v>348</v>
      </c>
      <c r="F38" s="61">
        <f>(1666557+72993737)</f>
        <v>74660294</v>
      </c>
      <c r="G38" s="61">
        <v>0</v>
      </c>
      <c r="H38" s="61">
        <f t="shared" si="0"/>
        <v>74660294</v>
      </c>
    </row>
    <row r="39" spans="1:8" ht="45" x14ac:dyDescent="0.25">
      <c r="A39" s="55">
        <v>4</v>
      </c>
      <c r="B39" s="56" t="s">
        <v>157</v>
      </c>
      <c r="C39" s="57" t="s">
        <v>158</v>
      </c>
      <c r="D39" s="58"/>
      <c r="E39" s="59" t="s">
        <v>347</v>
      </c>
      <c r="F39" s="60">
        <f>(788172623+9097389849)</f>
        <v>9885562472</v>
      </c>
      <c r="G39" s="60">
        <v>0</v>
      </c>
      <c r="H39" s="60">
        <f t="shared" si="0"/>
        <v>9885562472</v>
      </c>
    </row>
    <row r="40" spans="1:8" ht="45" x14ac:dyDescent="0.25">
      <c r="A40" s="55">
        <v>3</v>
      </c>
      <c r="B40" s="56" t="s">
        <v>159</v>
      </c>
      <c r="C40" s="57" t="s">
        <v>160</v>
      </c>
      <c r="D40" s="58"/>
      <c r="E40" s="59" t="s">
        <v>347</v>
      </c>
      <c r="F40" s="60">
        <f>(7626744+62604561)</f>
        <v>70231305</v>
      </c>
      <c r="G40" s="60">
        <v>0</v>
      </c>
      <c r="H40" s="60">
        <f t="shared" si="0"/>
        <v>70231305</v>
      </c>
    </row>
    <row r="41" spans="1:8" ht="45" x14ac:dyDescent="0.25">
      <c r="A41" s="55">
        <v>2</v>
      </c>
      <c r="B41" s="56" t="s">
        <v>161</v>
      </c>
      <c r="C41" s="57" t="s">
        <v>162</v>
      </c>
      <c r="D41" s="58"/>
      <c r="E41" s="59" t="s">
        <v>347</v>
      </c>
      <c r="F41" s="60">
        <v>1051488</v>
      </c>
      <c r="G41" s="60">
        <v>0</v>
      </c>
      <c r="H41" s="60">
        <f t="shared" si="0"/>
        <v>1051488</v>
      </c>
    </row>
    <row r="42" spans="1:8" ht="30" x14ac:dyDescent="0.25">
      <c r="A42" s="55">
        <v>1</v>
      </c>
      <c r="B42" s="56" t="s">
        <v>163</v>
      </c>
      <c r="C42" s="57" t="s">
        <v>164</v>
      </c>
      <c r="D42" s="58"/>
      <c r="E42" s="59" t="s">
        <v>346</v>
      </c>
      <c r="F42" s="60">
        <v>4518657</v>
      </c>
      <c r="G42" s="60">
        <v>0</v>
      </c>
      <c r="H42" s="60">
        <f t="shared" si="0"/>
        <v>4518657</v>
      </c>
    </row>
    <row r="43" spans="1:8" x14ac:dyDescent="0.25">
      <c r="F43" s="8"/>
      <c r="G43" s="8"/>
      <c r="H43" s="8"/>
    </row>
  </sheetData>
  <hyperlinks>
    <hyperlink ref="B10" r:id="rId1" display="http://www.legis.ac.gov.br/detalhar/5476" xr:uid="{AE401731-1268-4AC9-AB26-06C5AB517217}"/>
    <hyperlink ref="B11" r:id="rId2" display="http://www.legis.ac.gov.br/detalhar/5042" xr:uid="{BBBC1872-551F-4E67-A3BA-1406DCBA514A}"/>
    <hyperlink ref="B12" r:id="rId3" display="http://www.legis.ac.gov.br/detalhar/4314" xr:uid="{F25F67D9-AA3A-40A7-9E23-31A0B393D54B}"/>
    <hyperlink ref="B13" r:id="rId4" display="http://www.legis.ac.gov.br/detalhar/2565" xr:uid="{0A0AC5BB-A7C7-4CB7-A1EB-2EE8A67C3F43}"/>
    <hyperlink ref="B14" r:id="rId5" display="http://www.legis.ac.gov.br/detalhar/2227" xr:uid="{BB32B334-E7BD-4212-BE28-E2C58B93D966}"/>
    <hyperlink ref="B15" r:id="rId6" display="http://www.legis.ac.gov.br/detalhar/2097" xr:uid="{DC9E3C4F-AB83-4B6A-B32F-09D1BFD0F5EF}"/>
    <hyperlink ref="B16" r:id="rId7" display="http://www.legis.ac.gov.br/detalhar/2382" xr:uid="{5326FF06-ADCC-4C8C-A48D-503130BFD9D0}"/>
    <hyperlink ref="B18" r:id="rId8" display="http://www.legis.ac.gov.br/detalhar/1028" xr:uid="{0B719983-BB8A-44CA-9736-CE04E232615F}"/>
    <hyperlink ref="B19" r:id="rId9" display="http://www.legis.ac.gov.br/detalhar/3198" xr:uid="{B854B69D-ABCE-4161-984D-468FBB07B8CA}"/>
    <hyperlink ref="B20" r:id="rId10" display="http://www.legis.ac.gov.br/detalhar/3003" xr:uid="{FB2B01D7-5904-4424-B001-572D1430F8ED}"/>
    <hyperlink ref="B21" r:id="rId11" display="http://www.legis.ac.gov.br/detalhar/2719" xr:uid="{ECFD4697-C6C6-4767-9770-329232497A10}"/>
    <hyperlink ref="B22" r:id="rId12" display="http://www.legis.ac.gov.br/detalhar/1925" xr:uid="{D7CAD279-6B4C-4248-89EE-A55AEC3E385B}"/>
    <hyperlink ref="B23" r:id="rId13" display="http://www.legis.ac.gov.br/detalhar/420" xr:uid="{71FC6049-9746-40E7-A178-7E91A41A763D}"/>
    <hyperlink ref="B24" r:id="rId14" display="http://www.legis.ac.gov.br/detalhar/239" xr:uid="{E4E56F74-D886-473B-8273-0CA5C7A9580F}"/>
    <hyperlink ref="B25" r:id="rId15" display="http://www.legis.ac.gov.br/detalhar/3483" xr:uid="{CC1BB2CC-DFA3-4597-AF68-E4BF88AF26B8}"/>
    <hyperlink ref="B26" r:id="rId16" display="http://www.legis.ac.gov.br/detalhar/59" xr:uid="{11D0B904-8266-460C-B13F-CCABD68AF911}"/>
    <hyperlink ref="B27" r:id="rId17" display="http://www.legis.ac.gov.br/detalhar/1728" xr:uid="{5C2F1A22-32F3-4470-9044-F05F6EC8703F}"/>
    <hyperlink ref="B28" r:id="rId18" display="http://www.legis.ac.gov.br/detalhar/1410" xr:uid="{F771469A-BC2F-4D23-84A2-800FE4238204}"/>
    <hyperlink ref="B29" r:id="rId19" display="http://www.legis.ac.gov.br/detalhar/1071" xr:uid="{B963D090-B2F5-4F50-9073-EFE8CB806C6B}"/>
    <hyperlink ref="B30" r:id="rId20" display="http://www.legis.ac.gov.br/detalhar/3768" xr:uid="{0921B176-B5EC-451D-A920-7C449D4488EB}"/>
    <hyperlink ref="B31" r:id="rId21" display="http://www.legis.ac.gov.br/detalhar/3774" xr:uid="{B6180C2B-F0BD-454D-B58D-F19420AA83CB}"/>
    <hyperlink ref="B32" r:id="rId22" display="http://www.legis.ac.gov.br/detalhar/1764" xr:uid="{C1039EF9-0723-4B6F-B839-877F90916D25}"/>
    <hyperlink ref="B33" r:id="rId23" display="http://www.legis.ac.gov.br/detalhar/921" xr:uid="{10FE6EE2-6534-4C32-9C82-E01D871F4F2A}"/>
    <hyperlink ref="B34" r:id="rId24" display="http://www.legis.ac.gov.br/detalhar/870" xr:uid="{47387CBF-A50C-4435-B63B-243ACB5A867D}"/>
    <hyperlink ref="B35" r:id="rId25" display="http://www.legis.ac.gov.br/detalhar/708" xr:uid="{33B68961-F197-40EE-8BA4-9BC085AE526E}"/>
    <hyperlink ref="B36" r:id="rId26" display="http://www.legis.ac.gov.br/detalhar/3313" xr:uid="{41D0CC07-7594-4934-9E6F-E5F5FC0D3532}"/>
    <hyperlink ref="B37" r:id="rId27" display="http://www.legis.ac.gov.br/detalhar/3247" xr:uid="{59E022A4-A7F3-4CC2-832E-E9C63FFFEB98}"/>
    <hyperlink ref="B38" r:id="rId28" display="http://www.legis.ac.gov.br/detalhar/3187" xr:uid="{2F48BBB6-2001-4E14-93C2-422AB748885E}"/>
    <hyperlink ref="B39" r:id="rId29" display="http://www.legis.ac.gov.br/detalhar/4057" xr:uid="{97C6D22B-774C-4C62-843B-F517A008DDB0}"/>
    <hyperlink ref="B40" r:id="rId30" display="http://www.legis.ac.gov.br/detalhar/2795" xr:uid="{1A84587B-1645-4CBD-B1B6-65841E8BF608}"/>
    <hyperlink ref="B41" r:id="rId31" display="http://www.legis.ac.gov.br/detalhar/2659" xr:uid="{B870E801-ADF8-4604-8F72-5A87920CE411}"/>
    <hyperlink ref="B42" r:id="rId32" display="http://www.legis.ac.gov.br/detalhar/1695" xr:uid="{88CB59E3-ABB1-4FC5-AB08-E622D1DCA975}"/>
    <hyperlink ref="B17" r:id="rId33" display="http://www.legis.ac.gov.br/detalhar/2035" xr:uid="{5367B2C9-C5D6-4C67-82BB-E001ABBCB3EC}"/>
    <hyperlink ref="B9" r:id="rId34" display="https://legis.ac.gov.br/detalhar/5971" xr:uid="{F23EB3D4-A5CB-4E3F-A3C0-4562135687F5}"/>
    <hyperlink ref="B8" r:id="rId35" display="https://legis.ac.gov.br/detalhar/6301" xr:uid="{DBD5777B-74E4-4F1B-9D51-B6DCC4EDA9B9}"/>
    <hyperlink ref="B7" r:id="rId36" display="https://legis.ac.gov.br/detalhar/6698" xr:uid="{EE43170F-D2BC-42B6-B595-B955C75539A2}"/>
  </hyperlinks>
  <pageMargins left="0.511811024" right="0.511811024" top="0.78740157499999996" bottom="0.78740157499999996" header="0.31496062000000002" footer="0.31496062000000002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 Ordinária</vt:lpstr>
      <vt:lpstr>Decreto</vt:lpstr>
      <vt:lpstr>Estrutura básica da adm</vt:lpstr>
      <vt:lpstr>PPA</vt:lpstr>
      <vt:lpstr>LDO</vt:lpstr>
      <vt:lpstr>LOA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Denyscley Oliveira Bandeira</dc:creator>
  <cp:lastModifiedBy>Vinicius Carneiro de Farias</cp:lastModifiedBy>
  <dcterms:created xsi:type="dcterms:W3CDTF">2023-08-14T18:31:25Z</dcterms:created>
  <dcterms:modified xsi:type="dcterms:W3CDTF">2026-09-10T14:55:39Z</dcterms:modified>
</cp:coreProperties>
</file>